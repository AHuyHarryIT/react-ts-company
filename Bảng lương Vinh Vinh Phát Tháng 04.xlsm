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822" codeName="{28389E77-7640-9E18-AD5C-E98E2F4A8B83}"/>
  <workbookPr updateLinks="never" codeName="Sô_la_mviê_cNa_y" defaultThemeVersion="124226"/>
  <mc:AlternateContent xmlns:mc="http://schemas.openxmlformats.org/markup-compatibility/2006">
    <mc:Choice Requires="x15">
      <x15ac:absPath xmlns:x15ac="http://schemas.microsoft.com/office/spreadsheetml/2010/11/ac" url="C:\Mr. THANH\BANG LUONG\NĂM 2026\LƯƠNG THÁNG 04\đuôi XLSM\"/>
    </mc:Choice>
  </mc:AlternateContent>
  <xr:revisionPtr revIDLastSave="0" documentId="8_{6A5B5445-7CC1-43A9-8382-5D72F5068862}" xr6:coauthVersionLast="47" xr6:coauthVersionMax="47" xr10:uidLastSave="{00000000-0000-0000-0000-000000000000}"/>
  <bookViews>
    <workbookView xWindow="-120" yWindow="-120" windowWidth="20730" windowHeight="11160" tabRatio="763" firstSheet="2" activeTab="8" xr2:uid="{00000000-000D-0000-FFFF-FFFF00000000}"/>
  </bookViews>
  <sheets>
    <sheet name="Kangatang" sheetId="91" state="veryHidden" r:id="rId1"/>
    <sheet name="Menu" sheetId="92" state="hidden" r:id="rId2"/>
    <sheet name="Danh muc" sheetId="85" r:id="rId3"/>
    <sheet name=" Bảng nhập công" sheetId="87" r:id="rId4"/>
    <sheet name="Bảng tính toán" sheetId="97" r:id="rId5"/>
    <sheet name="CHUYỂN KHOẢN" sheetId="99" state="hidden" r:id="rId6"/>
    <sheet name="TIỀN MẶT" sheetId="100" state="hidden" r:id="rId7"/>
    <sheet name="Data chấm công" sheetId="98" state="hidden" r:id="rId8"/>
    <sheet name="Bang Thanh Toan Luong" sheetId="1" r:id="rId9"/>
    <sheet name="In phiếu lương" sheetId="96" r:id="rId10"/>
    <sheet name="Phụ lục tính lương" sheetId="102" r:id="rId11"/>
    <sheet name="Sheet1" sheetId="101" state="hidden" r:id="rId12"/>
  </sheets>
  <externalReferences>
    <externalReference r:id="rId13"/>
    <externalReference r:id="rId14"/>
    <externalReference r:id="rId15"/>
  </externalReferences>
  <definedNames>
    <definedName name="_xlnm._FilterDatabase" localSheetId="3" hidden="1">' Bảng nhập công'!$C$6:$D$41</definedName>
    <definedName name="_xlnm._FilterDatabase" localSheetId="8" hidden="1">'Bang Thanh Toan Luong'!$A$7:$M$79</definedName>
    <definedName name="_xlnm._FilterDatabase" localSheetId="4" hidden="1">'Bảng tính toán'!$CF$7:$CH$78</definedName>
    <definedName name="_xlnm._FilterDatabase" localSheetId="5" hidden="1">'CHUYỂN KHOẢN'!$A$7:$F$76</definedName>
    <definedName name="_xlnm._FilterDatabase" localSheetId="2" hidden="1">'Danh muc'!$E$7:$F$104</definedName>
    <definedName name="_xlnm._FilterDatabase" localSheetId="7" hidden="1">'Data chấm công'!$N$10:$R$1609</definedName>
    <definedName name="_xlnm._FilterDatabase" localSheetId="6" hidden="1">'TIỀN MẶT'!$A$7:$G$76</definedName>
    <definedName name="Huỳnh_Thị_Huỳnh_Nga">'Danh muc'!$C$9:$C$98</definedName>
    <definedName name="lien">'Danh muc'!$C$2:$C$22</definedName>
    <definedName name="_xlnm.Print_Area" localSheetId="3">' Bảng nhập công'!$A$1:$O$10</definedName>
    <definedName name="_xlnm.Print_Area" localSheetId="8">'Bang Thanh Toan Luong'!$A$1:$L$87</definedName>
    <definedName name="_xlnm.Print_Area" localSheetId="4">'Bảng tính toán'!$A$3:$E$23</definedName>
    <definedName name="_xlnm.Print_Area" localSheetId="2">'Danh muc'!$C$7:$S$64</definedName>
    <definedName name="_xlnm.Print_Area" localSheetId="9">'In phiếu lương'!$A$2:$G$52</definedName>
    <definedName name="_xlnm.Print_Titles" localSheetId="8">'Bang Thanh Toan Luong'!$6:$7</definedName>
    <definedName name="_xlnm.Print_Titles" localSheetId="5">'CHUYỂN KHOẢN'!$6:$7</definedName>
    <definedName name="_xlnm.Print_Titles" localSheetId="2">'Danh muc'!$2:$2</definedName>
    <definedName name="_xlnm.Print_Titles" localSheetId="10">'Phụ lục tính lương'!$5:$5</definedName>
    <definedName name="tên" localSheetId="4">'[1]Danh muc'!$C$6:$C$467</definedName>
    <definedName name="tên" localSheetId="7">'[2]Danh muc'!$C$6:$C$484</definedName>
    <definedName name="tên" localSheetId="9">'[1]Danh muc'!$C$6:$C$467</definedName>
    <definedName name="tên" localSheetId="1">'[3]Danh muc'!$C$6:$C$481</definedName>
    <definedName name="tên">'Danh muc'!$C$2:$C$98</definedName>
    <definedName name="tên_nhân_viên">'Danh muc'!$C$4:$C$98</definedName>
  </definedNames>
  <calcPr calcId="191029"/>
</workbook>
</file>

<file path=xl/calcChain.xml><?xml version="1.0" encoding="utf-8"?>
<calcChain xmlns="http://schemas.openxmlformats.org/spreadsheetml/2006/main">
  <c r="F29" i="96" l="1"/>
  <c r="E29" i="96"/>
  <c r="F28" i="96"/>
  <c r="E28" i="96"/>
  <c r="F27" i="96"/>
  <c r="E27" i="96"/>
  <c r="F26" i="96"/>
  <c r="E26" i="96"/>
  <c r="F24" i="96"/>
  <c r="E24" i="96"/>
  <c r="F23" i="96"/>
  <c r="E23" i="96"/>
  <c r="D23" i="96"/>
  <c r="F22" i="96"/>
  <c r="E22" i="96"/>
  <c r="Z10" i="97"/>
  <c r="Z11" i="97"/>
  <c r="Z12" i="97"/>
  <c r="Z13" i="97"/>
  <c r="Z14" i="97"/>
  <c r="Z15" i="97"/>
  <c r="Z16" i="97"/>
  <c r="Z17" i="97"/>
  <c r="Z18" i="97"/>
  <c r="Z19" i="97"/>
  <c r="Z20" i="97"/>
  <c r="Z21" i="97"/>
  <c r="Z22" i="97"/>
  <c r="Z23" i="97"/>
  <c r="Z24" i="97"/>
  <c r="Z25" i="97"/>
  <c r="Z26" i="97"/>
  <c r="Z27" i="97"/>
  <c r="Z28" i="97"/>
  <c r="Z29" i="97"/>
  <c r="Z30" i="97"/>
  <c r="Z31" i="97"/>
  <c r="Z32" i="97"/>
  <c r="Z33" i="97"/>
  <c r="Z34" i="97"/>
  <c r="Z35" i="97"/>
  <c r="Z36" i="97"/>
  <c r="Z37" i="97"/>
  <c r="Z38" i="97"/>
  <c r="Z39" i="97"/>
  <c r="Z40" i="97"/>
  <c r="Z41" i="97"/>
  <c r="Z42" i="97"/>
  <c r="Z43" i="97"/>
  <c r="Z44" i="97"/>
  <c r="Z45" i="97"/>
  <c r="Z46" i="97"/>
  <c r="Z47" i="97"/>
  <c r="Z48" i="97"/>
  <c r="Z49" i="97"/>
  <c r="Z50" i="97"/>
  <c r="Z51" i="97"/>
  <c r="Z52" i="97"/>
  <c r="Z53" i="97"/>
  <c r="Z54" i="97"/>
  <c r="Z55" i="97"/>
  <c r="Z56" i="97"/>
  <c r="Z57" i="97"/>
  <c r="Z58" i="97"/>
  <c r="Z59" i="97"/>
  <c r="Z60" i="97"/>
  <c r="Z61" i="97"/>
  <c r="Z62" i="97"/>
  <c r="Z63" i="97"/>
  <c r="Z64" i="97"/>
  <c r="Z65" i="97"/>
  <c r="Z66" i="97"/>
  <c r="Z67" i="97"/>
  <c r="Z68" i="97"/>
  <c r="Z69" i="97"/>
  <c r="Z70" i="97"/>
  <c r="Z71" i="97"/>
  <c r="Z72" i="97"/>
  <c r="Z73" i="97"/>
  <c r="Z74" i="97"/>
  <c r="Z75" i="97"/>
  <c r="Z76" i="97"/>
  <c r="Z77" i="97"/>
  <c r="Z78" i="97"/>
  <c r="Z9" i="97"/>
  <c r="Z8" i="97"/>
  <c r="W9" i="97"/>
  <c r="W10" i="97"/>
  <c r="W11" i="97"/>
  <c r="W12" i="97"/>
  <c r="W13" i="97"/>
  <c r="W14" i="97"/>
  <c r="W15" i="97"/>
  <c r="W16" i="97"/>
  <c r="W17" i="97"/>
  <c r="W18" i="97"/>
  <c r="W19" i="97"/>
  <c r="W20" i="97"/>
  <c r="W21" i="97"/>
  <c r="W22" i="97"/>
  <c r="W23" i="97"/>
  <c r="W24" i="97"/>
  <c r="W25" i="97"/>
  <c r="W26" i="97"/>
  <c r="W27" i="97"/>
  <c r="W28" i="97"/>
  <c r="W29" i="97"/>
  <c r="W30" i="97"/>
  <c r="W31" i="97"/>
  <c r="W32" i="97"/>
  <c r="W33" i="97"/>
  <c r="W34" i="97"/>
  <c r="W35" i="97"/>
  <c r="W36" i="97"/>
  <c r="W37" i="97"/>
  <c r="W38" i="97"/>
  <c r="W39" i="97"/>
  <c r="W40" i="97"/>
  <c r="W41" i="97"/>
  <c r="W42" i="97"/>
  <c r="W43" i="97"/>
  <c r="W44" i="97"/>
  <c r="W45" i="97"/>
  <c r="W46" i="97"/>
  <c r="W47" i="97"/>
  <c r="W48" i="97"/>
  <c r="W49" i="97"/>
  <c r="W50" i="97"/>
  <c r="W51" i="97"/>
  <c r="W52" i="97"/>
  <c r="W53" i="97"/>
  <c r="W54" i="97"/>
  <c r="W55" i="97"/>
  <c r="W56" i="97"/>
  <c r="W57" i="97"/>
  <c r="W58" i="97"/>
  <c r="W59" i="97"/>
  <c r="W60" i="97"/>
  <c r="W61" i="97"/>
  <c r="W62" i="97"/>
  <c r="W63" i="97"/>
  <c r="W64" i="97"/>
  <c r="W65" i="97"/>
  <c r="W66" i="97"/>
  <c r="W67" i="97"/>
  <c r="W68" i="97"/>
  <c r="W69" i="97"/>
  <c r="W70" i="97"/>
  <c r="W71" i="97"/>
  <c r="W72" i="97"/>
  <c r="W73" i="97"/>
  <c r="W74" i="97"/>
  <c r="W75" i="97"/>
  <c r="W76" i="97"/>
  <c r="W77" i="97"/>
  <c r="W78" i="97"/>
  <c r="W8" i="97"/>
  <c r="T9" i="97"/>
  <c r="T10" i="97"/>
  <c r="T11" i="97"/>
  <c r="T12" i="97"/>
  <c r="T13" i="97"/>
  <c r="T14" i="97"/>
  <c r="T15" i="97"/>
  <c r="T16" i="97"/>
  <c r="T17" i="97"/>
  <c r="T18" i="97"/>
  <c r="T19" i="97"/>
  <c r="T20" i="97"/>
  <c r="T21" i="97"/>
  <c r="T22" i="97"/>
  <c r="T23" i="97"/>
  <c r="T24" i="97"/>
  <c r="T25" i="97"/>
  <c r="T26" i="97"/>
  <c r="T27" i="97"/>
  <c r="T28" i="97"/>
  <c r="T29" i="97"/>
  <c r="T30" i="97"/>
  <c r="T31" i="97"/>
  <c r="T32" i="97"/>
  <c r="T33" i="97"/>
  <c r="T34" i="97"/>
  <c r="T35" i="97"/>
  <c r="T36" i="97"/>
  <c r="T37" i="97"/>
  <c r="T38" i="97"/>
  <c r="T39" i="97"/>
  <c r="T40" i="97"/>
  <c r="T41" i="97"/>
  <c r="T42" i="97"/>
  <c r="T43" i="97"/>
  <c r="T44" i="97"/>
  <c r="T45" i="97"/>
  <c r="T46" i="97"/>
  <c r="T47" i="97"/>
  <c r="T48" i="97"/>
  <c r="T49" i="97"/>
  <c r="T50" i="97"/>
  <c r="T51" i="97"/>
  <c r="T52" i="97"/>
  <c r="T53" i="97"/>
  <c r="T54" i="97"/>
  <c r="T55" i="97"/>
  <c r="T56" i="97"/>
  <c r="T57" i="97"/>
  <c r="T58" i="97"/>
  <c r="T59" i="97"/>
  <c r="T60" i="97"/>
  <c r="T61" i="97"/>
  <c r="T62" i="97"/>
  <c r="T63" i="97"/>
  <c r="T64" i="97"/>
  <c r="T65" i="97"/>
  <c r="T66" i="97"/>
  <c r="T67" i="97"/>
  <c r="T68" i="97"/>
  <c r="T69" i="97"/>
  <c r="T70" i="97"/>
  <c r="T71" i="97"/>
  <c r="T72" i="97"/>
  <c r="T73" i="97"/>
  <c r="T74" i="97"/>
  <c r="T75" i="97"/>
  <c r="T76" i="97"/>
  <c r="T77" i="97"/>
  <c r="T78" i="97"/>
  <c r="T8" i="97"/>
  <c r="G9" i="97"/>
  <c r="S9" i="97"/>
  <c r="U9" i="97"/>
  <c r="AB9" i="97"/>
  <c r="AA9" i="97" s="1"/>
  <c r="AO9" i="97"/>
  <c r="AP9" i="97" s="1"/>
  <c r="AR9" i="97"/>
  <c r="AS9" i="97"/>
  <c r="AW9" i="97"/>
  <c r="BA9" i="97"/>
  <c r="BP9" i="97"/>
  <c r="BT9" i="97"/>
  <c r="BV9" i="97"/>
  <c r="BX9" i="97"/>
  <c r="CH9" i="97"/>
  <c r="F43" i="96"/>
  <c r="F38" i="96"/>
  <c r="E38" i="96"/>
  <c r="F37" i="96"/>
  <c r="D37" i="96"/>
  <c r="F36" i="96"/>
  <c r="D36" i="96"/>
  <c r="F35" i="96"/>
  <c r="D35" i="96"/>
  <c r="F34" i="96"/>
  <c r="E33" i="96"/>
  <c r="F32" i="96"/>
  <c r="E32" i="96"/>
  <c r="F31" i="96"/>
  <c r="F25" i="96"/>
  <c r="D22" i="96"/>
  <c r="F21" i="96"/>
  <c r="D21" i="96"/>
  <c r="F20" i="96"/>
  <c r="D20" i="96"/>
  <c r="F19" i="96"/>
  <c r="D19" i="96"/>
  <c r="F18" i="96"/>
  <c r="D18" i="96"/>
  <c r="F17" i="96"/>
  <c r="D17" i="96"/>
  <c r="F16" i="96"/>
  <c r="F15" i="96"/>
  <c r="D15" i="96"/>
  <c r="F14" i="96"/>
  <c r="D14" i="96"/>
  <c r="F13" i="96"/>
  <c r="D13" i="96"/>
  <c r="F12" i="96"/>
  <c r="F11" i="96"/>
  <c r="F10" i="96"/>
  <c r="F9" i="96"/>
  <c r="F8" i="96"/>
  <c r="G10" i="97"/>
  <c r="G11" i="97"/>
  <c r="G12" i="97"/>
  <c r="G13" i="97"/>
  <c r="G14" i="97"/>
  <c r="G15" i="97"/>
  <c r="G16" i="97"/>
  <c r="G17" i="97"/>
  <c r="G18" i="97"/>
  <c r="G19" i="97"/>
  <c r="G20" i="97"/>
  <c r="G21" i="97"/>
  <c r="G22" i="97"/>
  <c r="G23" i="97"/>
  <c r="G24" i="97"/>
  <c r="G25" i="97"/>
  <c r="G26" i="97"/>
  <c r="G27" i="97"/>
  <c r="G28" i="97"/>
  <c r="G29" i="97"/>
  <c r="G30" i="97"/>
  <c r="G31" i="97"/>
  <c r="G32" i="97"/>
  <c r="G33" i="97"/>
  <c r="G34" i="97"/>
  <c r="G35" i="97"/>
  <c r="G36" i="97"/>
  <c r="G37" i="97"/>
  <c r="G38" i="97"/>
  <c r="G39" i="97"/>
  <c r="G40" i="97"/>
  <c r="G41" i="97"/>
  <c r="G42" i="97"/>
  <c r="G43" i="97"/>
  <c r="G44" i="97"/>
  <c r="G45" i="97"/>
  <c r="G46" i="97"/>
  <c r="G47" i="97"/>
  <c r="G48" i="97"/>
  <c r="G49" i="97"/>
  <c r="G50" i="97"/>
  <c r="G51" i="97"/>
  <c r="G52" i="97"/>
  <c r="G53" i="97"/>
  <c r="G54" i="97"/>
  <c r="G55" i="97"/>
  <c r="G56" i="97"/>
  <c r="G57" i="97"/>
  <c r="G58" i="97"/>
  <c r="G59" i="97"/>
  <c r="G60" i="97"/>
  <c r="G61" i="97"/>
  <c r="G62" i="97"/>
  <c r="G63" i="97"/>
  <c r="G64" i="97"/>
  <c r="G65" i="97"/>
  <c r="G66" i="97"/>
  <c r="G67" i="97"/>
  <c r="G68" i="97"/>
  <c r="G69" i="97"/>
  <c r="G70" i="97"/>
  <c r="G71" i="97"/>
  <c r="G72" i="97"/>
  <c r="G73" i="97"/>
  <c r="G74" i="97"/>
  <c r="G75" i="97"/>
  <c r="G76" i="97"/>
  <c r="G77" i="97"/>
  <c r="G78" i="97"/>
  <c r="G8" i="97"/>
  <c r="E8" i="96"/>
  <c r="D8" i="96"/>
  <c r="CF10" i="97"/>
  <c r="CF11" i="97"/>
  <c r="CF12" i="97"/>
  <c r="CF13" i="97"/>
  <c r="CF14" i="97"/>
  <c r="CF15" i="97"/>
  <c r="CF16" i="97"/>
  <c r="CF17" i="97"/>
  <c r="CF18" i="97"/>
  <c r="CF19" i="97"/>
  <c r="CF20" i="97"/>
  <c r="CF74" i="97"/>
  <c r="CF75" i="97"/>
  <c r="CF76" i="97"/>
  <c r="CF77" i="97"/>
  <c r="CF78" i="97"/>
  <c r="CF8" i="97"/>
  <c r="BT64" i="97"/>
  <c r="BT65" i="97"/>
  <c r="BT66" i="97"/>
  <c r="W64" i="85"/>
  <c r="X64" i="85"/>
  <c r="W65" i="85"/>
  <c r="X65" i="85"/>
  <c r="U61" i="97"/>
  <c r="U58" i="97"/>
  <c r="E43" i="97"/>
  <c r="M59" i="87"/>
  <c r="AA40" i="97"/>
  <c r="G13" i="87"/>
  <c r="G14" i="87"/>
  <c r="G15" i="87"/>
  <c r="G20" i="87"/>
  <c r="BT24" i="97"/>
  <c r="U64" i="97" l="1"/>
  <c r="U55" i="97"/>
  <c r="U47" i="97"/>
  <c r="U43" i="97"/>
  <c r="U37" i="97"/>
  <c r="U10" i="97"/>
  <c r="F47" i="87" l="1"/>
  <c r="G47" i="87"/>
  <c r="U53" i="97" l="1"/>
  <c r="U46" i="97"/>
  <c r="U44" i="97"/>
  <c r="U56" i="97" l="1"/>
  <c r="U57" i="97"/>
  <c r="U49" i="97"/>
  <c r="U32" i="97"/>
  <c r="U51" i="97" l="1"/>
  <c r="BT41" i="97" l="1"/>
  <c r="BT51" i="97"/>
  <c r="BT52" i="97"/>
  <c r="Q59" i="97" l="1"/>
  <c r="U41" i="97" l="1"/>
  <c r="U33" i="97"/>
  <c r="L61" i="87"/>
  <c r="L62" i="87"/>
  <c r="L63" i="87"/>
  <c r="M60" i="87"/>
  <c r="M61" i="87"/>
  <c r="M62" i="87"/>
  <c r="K61" i="87"/>
  <c r="K62" i="87"/>
  <c r="BT62" i="97"/>
  <c r="BT63" i="97"/>
  <c r="BT53" i="97"/>
  <c r="BT54" i="97"/>
  <c r="BT42" i="97"/>
  <c r="BT33" i="97"/>
  <c r="BT34" i="97"/>
  <c r="X33" i="85"/>
  <c r="BP33" i="97" s="1"/>
  <c r="X34" i="85"/>
  <c r="BP34" i="97" s="1"/>
  <c r="W33" i="85"/>
  <c r="W34" i="85"/>
  <c r="O61" i="85" l="1"/>
  <c r="AB61" i="85" s="1"/>
  <c r="L64" i="1" l="1"/>
  <c r="A24" i="1" l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E61" i="87" l="1"/>
  <c r="D64" i="85" l="1"/>
  <c r="L63" i="1" l="1"/>
  <c r="AR61" i="97"/>
  <c r="BT67" i="97" l="1"/>
  <c r="BT68" i="97"/>
  <c r="BT69" i="97"/>
  <c r="BT70" i="97"/>
  <c r="BT71" i="97"/>
  <c r="BT72" i="97"/>
  <c r="BT73" i="97"/>
  <c r="BT74" i="97"/>
  <c r="BT75" i="97"/>
  <c r="BT36" i="97"/>
  <c r="BT37" i="97"/>
  <c r="BT38" i="97"/>
  <c r="BT39" i="97"/>
  <c r="BT43" i="97"/>
  <c r="BT44" i="97"/>
  <c r="BT45" i="97"/>
  <c r="BT46" i="97"/>
  <c r="BT47" i="97"/>
  <c r="BT48" i="97"/>
  <c r="BT50" i="97"/>
  <c r="BT55" i="97"/>
  <c r="BT56" i="97"/>
  <c r="BT57" i="97"/>
  <c r="BT58" i="97"/>
  <c r="BT59" i="97"/>
  <c r="BT60" i="97"/>
  <c r="BT61" i="97"/>
  <c r="BT25" i="97"/>
  <c r="BT26" i="97"/>
  <c r="BT27" i="97"/>
  <c r="BT28" i="97"/>
  <c r="BT29" i="97"/>
  <c r="BT30" i="97"/>
  <c r="BT31" i="97"/>
  <c r="BT32" i="97"/>
  <c r="BT35" i="97"/>
  <c r="BT11" i="97"/>
  <c r="BT12" i="97"/>
  <c r="BT13" i="97"/>
  <c r="BT14" i="97"/>
  <c r="BT15" i="97"/>
  <c r="BT16" i="97"/>
  <c r="BT17" i="97"/>
  <c r="BT18" i="97"/>
  <c r="BT19" i="97"/>
  <c r="BT20" i="97"/>
  <c r="BT21" i="97"/>
  <c r="BT22" i="97"/>
  <c r="BT23" i="97"/>
  <c r="BT10" i="97"/>
  <c r="BT8" i="97"/>
  <c r="AA23" i="85" l="1"/>
  <c r="AA24" i="85"/>
  <c r="AA25" i="85"/>
  <c r="AA18" i="85"/>
  <c r="AA20" i="85"/>
  <c r="AA21" i="85"/>
  <c r="AA22" i="85"/>
  <c r="AA12" i="85"/>
  <c r="AA13" i="85"/>
  <c r="AA14" i="85"/>
  <c r="AA15" i="85"/>
  <c r="AA16" i="85"/>
  <c r="AA17" i="85"/>
  <c r="AA10" i="85"/>
  <c r="AA9" i="85"/>
  <c r="AA11" i="85"/>
  <c r="AA8" i="85"/>
  <c r="U59" i="97" l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5" i="1"/>
  <c r="L56" i="1"/>
  <c r="L57" i="1"/>
  <c r="L58" i="1"/>
  <c r="L59" i="1"/>
  <c r="L60" i="1"/>
  <c r="L61" i="1"/>
  <c r="L62" i="1"/>
  <c r="L8" i="1"/>
  <c r="AA19" i="85" l="1"/>
  <c r="D62" i="1"/>
  <c r="D63" i="1"/>
  <c r="D64" i="1"/>
  <c r="D65" i="1"/>
  <c r="C62" i="1"/>
  <c r="C63" i="1"/>
  <c r="C64" i="1"/>
  <c r="B64" i="1"/>
  <c r="B65" i="1"/>
  <c r="B63" i="1"/>
  <c r="B62" i="1"/>
  <c r="U60" i="97" l="1"/>
  <c r="U62" i="97"/>
  <c r="O60" i="85" l="1"/>
  <c r="AB60" i="85" s="1"/>
  <c r="P61" i="85"/>
  <c r="AA61" i="85" s="1"/>
  <c r="P60" i="85" l="1"/>
  <c r="AA60" i="85" s="1"/>
  <c r="B60" i="87"/>
  <c r="C60" i="87"/>
  <c r="D60" i="87"/>
  <c r="B61" i="87"/>
  <c r="C60" i="1" l="1"/>
  <c r="C61" i="1"/>
  <c r="S57" i="97"/>
  <c r="S58" i="97"/>
  <c r="S59" i="97"/>
  <c r="S60" i="97"/>
  <c r="X20" i="85"/>
  <c r="BP20" i="97" s="1"/>
  <c r="X21" i="85"/>
  <c r="W20" i="85"/>
  <c r="K54" i="85"/>
  <c r="L54" i="85" s="1"/>
  <c r="X60" i="85"/>
  <c r="X61" i="85"/>
  <c r="X62" i="85"/>
  <c r="X63" i="85"/>
  <c r="W60" i="85"/>
  <c r="W61" i="85"/>
  <c r="W62" i="85"/>
  <c r="W63" i="85"/>
  <c r="D59" i="85"/>
  <c r="D60" i="85"/>
  <c r="D61" i="85"/>
  <c r="D62" i="85"/>
  <c r="D63" i="85"/>
  <c r="I59" i="1" l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8" i="1"/>
  <c r="O10" i="85"/>
  <c r="O11" i="85"/>
  <c r="AB11" i="85" s="1"/>
  <c r="O12" i="85"/>
  <c r="AB12" i="85" s="1"/>
  <c r="O13" i="85"/>
  <c r="AB13" i="85" s="1"/>
  <c r="O14" i="85"/>
  <c r="AB14" i="85" s="1"/>
  <c r="O15" i="85"/>
  <c r="AB15" i="85" s="1"/>
  <c r="O16" i="85"/>
  <c r="AB16" i="85" s="1"/>
  <c r="O17" i="85"/>
  <c r="AB17" i="85" s="1"/>
  <c r="O9" i="85"/>
  <c r="AB9" i="85" s="1"/>
  <c r="O8" i="85"/>
  <c r="AB8" i="85" s="1"/>
  <c r="D8" i="85"/>
  <c r="D9" i="85"/>
  <c r="D10" i="85"/>
  <c r="D11" i="85"/>
  <c r="D12" i="85"/>
  <c r="D13" i="85"/>
  <c r="D14" i="85"/>
  <c r="D15" i="85"/>
  <c r="D16" i="85"/>
  <c r="D17" i="85"/>
  <c r="D18" i="85"/>
  <c r="D19" i="85"/>
  <c r="D20" i="85"/>
  <c r="D21" i="85"/>
  <c r="D22" i="85"/>
  <c r="D23" i="85"/>
  <c r="D24" i="85"/>
  <c r="D25" i="85"/>
  <c r="D26" i="85"/>
  <c r="D27" i="85"/>
  <c r="D28" i="85"/>
  <c r="D29" i="85"/>
  <c r="D30" i="85"/>
  <c r="D31" i="85"/>
  <c r="D32" i="85"/>
  <c r="D33" i="85"/>
  <c r="D34" i="85"/>
  <c r="D35" i="85"/>
  <c r="D36" i="85"/>
  <c r="D37" i="85"/>
  <c r="D38" i="85"/>
  <c r="D39" i="85"/>
  <c r="D40" i="85"/>
  <c r="D41" i="85"/>
  <c r="D42" i="85"/>
  <c r="D43" i="85"/>
  <c r="D44" i="85"/>
  <c r="D45" i="85"/>
  <c r="D46" i="85"/>
  <c r="D47" i="85"/>
  <c r="D48" i="85"/>
  <c r="D49" i="85"/>
  <c r="D50" i="85"/>
  <c r="D51" i="85"/>
  <c r="D52" i="85"/>
  <c r="D53" i="85"/>
  <c r="D54" i="85"/>
  <c r="D55" i="85"/>
  <c r="D56" i="85"/>
  <c r="D57" i="85"/>
  <c r="D58" i="85"/>
  <c r="BT76" i="97"/>
  <c r="BT77" i="97"/>
  <c r="BT78" i="97"/>
  <c r="BP60" i="97"/>
  <c r="BP61" i="97"/>
  <c r="BP62" i="97"/>
  <c r="F62" i="1" s="1"/>
  <c r="BP63" i="97"/>
  <c r="F63" i="1" s="1"/>
  <c r="BP64" i="97"/>
  <c r="F64" i="1" s="1"/>
  <c r="BP65" i="97"/>
  <c r="BP66" i="97"/>
  <c r="BP67" i="97"/>
  <c r="BP68" i="97"/>
  <c r="BP69" i="97"/>
  <c r="AB10" i="97"/>
  <c r="AA10" i="97" s="1"/>
  <c r="AB11" i="97"/>
  <c r="AA11" i="97" s="1"/>
  <c r="AB12" i="97"/>
  <c r="AA12" i="97" s="1"/>
  <c r="AB13" i="97"/>
  <c r="AA13" i="97" s="1"/>
  <c r="AB14" i="97"/>
  <c r="AA14" i="97" s="1"/>
  <c r="AB15" i="97"/>
  <c r="AA15" i="97" s="1"/>
  <c r="AB16" i="97"/>
  <c r="AA16" i="97" s="1"/>
  <c r="AB17" i="97"/>
  <c r="AA17" i="97" s="1"/>
  <c r="AB18" i="97"/>
  <c r="AA18" i="97" s="1"/>
  <c r="AB19" i="97"/>
  <c r="AA19" i="97" s="1"/>
  <c r="AB20" i="97"/>
  <c r="AA20" i="97" s="1"/>
  <c r="AB21" i="97"/>
  <c r="AA21" i="97" s="1"/>
  <c r="AB22" i="97"/>
  <c r="AA22" i="97" s="1"/>
  <c r="AB23" i="97"/>
  <c r="AA23" i="97" s="1"/>
  <c r="AB24" i="97"/>
  <c r="AA24" i="97" s="1"/>
  <c r="AB25" i="97"/>
  <c r="AA25" i="97" s="1"/>
  <c r="AB26" i="97"/>
  <c r="AA26" i="97" s="1"/>
  <c r="AB27" i="97"/>
  <c r="AA27" i="97" s="1"/>
  <c r="AB28" i="97"/>
  <c r="AA28" i="97" s="1"/>
  <c r="AB29" i="97"/>
  <c r="AA29" i="97" s="1"/>
  <c r="AB30" i="97"/>
  <c r="AA30" i="97" s="1"/>
  <c r="AB31" i="97"/>
  <c r="AA31" i="97" s="1"/>
  <c r="AB32" i="97"/>
  <c r="AA32" i="97" s="1"/>
  <c r="AB33" i="97"/>
  <c r="AA33" i="97" s="1"/>
  <c r="AB34" i="97"/>
  <c r="AA34" i="97" s="1"/>
  <c r="AB35" i="97"/>
  <c r="AA35" i="97" s="1"/>
  <c r="AB36" i="97"/>
  <c r="AA36" i="97" s="1"/>
  <c r="AB37" i="97"/>
  <c r="AA37" i="97" s="1"/>
  <c r="AB38" i="97"/>
  <c r="AA38" i="97" s="1"/>
  <c r="AB39" i="97"/>
  <c r="AA39" i="97" s="1"/>
  <c r="AB41" i="97"/>
  <c r="AA41" i="97" s="1"/>
  <c r="AB42" i="97"/>
  <c r="AA42" i="97" s="1"/>
  <c r="AB43" i="97"/>
  <c r="AA43" i="97" s="1"/>
  <c r="AB44" i="97"/>
  <c r="AA44" i="97" s="1"/>
  <c r="AB45" i="97"/>
  <c r="AA45" i="97" s="1"/>
  <c r="AB46" i="97"/>
  <c r="AA46" i="97" s="1"/>
  <c r="AB47" i="97"/>
  <c r="AA47" i="97" s="1"/>
  <c r="AB48" i="97"/>
  <c r="AA48" i="97" s="1"/>
  <c r="AB49" i="97"/>
  <c r="AA49" i="97" s="1"/>
  <c r="AB50" i="97"/>
  <c r="AA50" i="97" s="1"/>
  <c r="AB51" i="97"/>
  <c r="AA51" i="97" s="1"/>
  <c r="AB52" i="97"/>
  <c r="AA52" i="97" s="1"/>
  <c r="AB53" i="97"/>
  <c r="AA53" i="97" s="1"/>
  <c r="AB54" i="97"/>
  <c r="AA54" i="97" s="1"/>
  <c r="AB55" i="97"/>
  <c r="AA55" i="97" s="1"/>
  <c r="AB56" i="97"/>
  <c r="AA56" i="97" s="1"/>
  <c r="AB57" i="97"/>
  <c r="AA57" i="97" s="1"/>
  <c r="AB58" i="97"/>
  <c r="AA58" i="97" s="1"/>
  <c r="AB59" i="97"/>
  <c r="AA59" i="97" s="1"/>
  <c r="AB60" i="97"/>
  <c r="AA60" i="97" s="1"/>
  <c r="AB61" i="97"/>
  <c r="AA61" i="97" s="1"/>
  <c r="AB62" i="97"/>
  <c r="AA62" i="97" s="1"/>
  <c r="AB63" i="97"/>
  <c r="AA63" i="97" s="1"/>
  <c r="AB64" i="97"/>
  <c r="AA64" i="97" s="1"/>
  <c r="AB65" i="97"/>
  <c r="AA65" i="97" s="1"/>
  <c r="AB66" i="97"/>
  <c r="AA66" i="97" s="1"/>
  <c r="AB67" i="97"/>
  <c r="AA67" i="97" s="1"/>
  <c r="AB68" i="97"/>
  <c r="AA68" i="97" s="1"/>
  <c r="AB69" i="97"/>
  <c r="AA69" i="97" s="1"/>
  <c r="AB70" i="97"/>
  <c r="AA70" i="97" s="1"/>
  <c r="AB71" i="97"/>
  <c r="AA71" i="97" s="1"/>
  <c r="AB72" i="97"/>
  <c r="AA72" i="97" s="1"/>
  <c r="AB73" i="97"/>
  <c r="AA73" i="97" s="1"/>
  <c r="AB74" i="97"/>
  <c r="AA74" i="97" s="1"/>
  <c r="AB75" i="97"/>
  <c r="AA75" i="97" s="1"/>
  <c r="AB76" i="97"/>
  <c r="AA76" i="97" s="1"/>
  <c r="AB77" i="97"/>
  <c r="AA77" i="97" s="1"/>
  <c r="AB78" i="97"/>
  <c r="AA78" i="97" s="1"/>
  <c r="U29" i="97"/>
  <c r="U30" i="97"/>
  <c r="U31" i="97"/>
  <c r="U34" i="97"/>
  <c r="U35" i="97"/>
  <c r="U36" i="97"/>
  <c r="U38" i="97"/>
  <c r="U39" i="97"/>
  <c r="U42" i="97"/>
  <c r="U45" i="97"/>
  <c r="U48" i="97"/>
  <c r="U50" i="97"/>
  <c r="U52" i="97"/>
  <c r="U54" i="97"/>
  <c r="U63" i="97"/>
  <c r="U65" i="97"/>
  <c r="U66" i="97"/>
  <c r="U67" i="97"/>
  <c r="U68" i="97"/>
  <c r="U69" i="97"/>
  <c r="U70" i="97"/>
  <c r="U71" i="97"/>
  <c r="U72" i="97"/>
  <c r="U73" i="97"/>
  <c r="U74" i="97"/>
  <c r="U75" i="97"/>
  <c r="U76" i="97"/>
  <c r="U77" i="97"/>
  <c r="U78" i="97"/>
  <c r="U11" i="97"/>
  <c r="U12" i="97"/>
  <c r="U13" i="97"/>
  <c r="U14" i="97"/>
  <c r="U15" i="97"/>
  <c r="U16" i="97"/>
  <c r="U17" i="97"/>
  <c r="U18" i="97"/>
  <c r="U19" i="97"/>
  <c r="U20" i="97"/>
  <c r="U21" i="97"/>
  <c r="U22" i="97"/>
  <c r="U23" i="97"/>
  <c r="U24" i="97"/>
  <c r="U25" i="97"/>
  <c r="U26" i="97"/>
  <c r="U27" i="97"/>
  <c r="U28" i="97"/>
  <c r="F9" i="87"/>
  <c r="F10" i="87"/>
  <c r="F11" i="87"/>
  <c r="F12" i="87"/>
  <c r="F13" i="87"/>
  <c r="F14" i="87"/>
  <c r="F15" i="87"/>
  <c r="F16" i="87"/>
  <c r="F17" i="87"/>
  <c r="F18" i="87"/>
  <c r="F19" i="87"/>
  <c r="F20" i="87"/>
  <c r="F21" i="87"/>
  <c r="F22" i="87"/>
  <c r="F23" i="87"/>
  <c r="F24" i="87"/>
  <c r="F25" i="87"/>
  <c r="F26" i="87"/>
  <c r="F27" i="87"/>
  <c r="F28" i="87"/>
  <c r="F29" i="87"/>
  <c r="F30" i="87"/>
  <c r="F31" i="87"/>
  <c r="F32" i="87"/>
  <c r="F33" i="87"/>
  <c r="F34" i="87"/>
  <c r="F35" i="87"/>
  <c r="F36" i="87"/>
  <c r="F37" i="87"/>
  <c r="F38" i="87"/>
  <c r="F39" i="87"/>
  <c r="F40" i="87"/>
  <c r="F41" i="87"/>
  <c r="F42" i="87"/>
  <c r="F43" i="87"/>
  <c r="F44" i="87"/>
  <c r="F45" i="87"/>
  <c r="F46" i="87"/>
  <c r="F48" i="87"/>
  <c r="F49" i="87"/>
  <c r="F50" i="87"/>
  <c r="F51" i="87"/>
  <c r="F52" i="87"/>
  <c r="F53" i="87"/>
  <c r="F54" i="87"/>
  <c r="F55" i="87"/>
  <c r="F56" i="87"/>
  <c r="F57" i="87"/>
  <c r="F58" i="87"/>
  <c r="F59" i="87"/>
  <c r="F60" i="87"/>
  <c r="F61" i="87"/>
  <c r="F62" i="87"/>
  <c r="F63" i="87"/>
  <c r="F64" i="87"/>
  <c r="F65" i="87"/>
  <c r="F66" i="87"/>
  <c r="F67" i="87"/>
  <c r="F68" i="87"/>
  <c r="F69" i="87"/>
  <c r="F70" i="87"/>
  <c r="F71" i="87"/>
  <c r="F72" i="87"/>
  <c r="F73" i="87"/>
  <c r="F74" i="87"/>
  <c r="F75" i="87"/>
  <c r="F76" i="87"/>
  <c r="F77" i="87"/>
  <c r="F78" i="87"/>
  <c r="F79" i="87"/>
  <c r="F80" i="87"/>
  <c r="F81" i="87"/>
  <c r="F82" i="87"/>
  <c r="F83" i="87"/>
  <c r="F84" i="87"/>
  <c r="F85" i="87"/>
  <c r="F86" i="87"/>
  <c r="F87" i="87"/>
  <c r="F88" i="87"/>
  <c r="F89" i="87"/>
  <c r="F90" i="87"/>
  <c r="F91" i="87"/>
  <c r="F92" i="87"/>
  <c r="F93" i="87"/>
  <c r="F94" i="87"/>
  <c r="F95" i="87"/>
  <c r="F96" i="87"/>
  <c r="F97" i="87"/>
  <c r="F98" i="87"/>
  <c r="F99" i="87"/>
  <c r="E9" i="87"/>
  <c r="E10" i="87"/>
  <c r="E11" i="87"/>
  <c r="E12" i="87"/>
  <c r="E13" i="87"/>
  <c r="E14" i="87"/>
  <c r="E15" i="87"/>
  <c r="E16" i="87"/>
  <c r="E17" i="87"/>
  <c r="E18" i="87"/>
  <c r="E19" i="87"/>
  <c r="E20" i="87"/>
  <c r="E21" i="87"/>
  <c r="E22" i="87"/>
  <c r="E23" i="87"/>
  <c r="E24" i="87"/>
  <c r="E25" i="87"/>
  <c r="E26" i="87"/>
  <c r="E27" i="87"/>
  <c r="E28" i="87"/>
  <c r="E29" i="87"/>
  <c r="E30" i="87"/>
  <c r="E31" i="87"/>
  <c r="E32" i="87"/>
  <c r="E33" i="87"/>
  <c r="E34" i="87"/>
  <c r="E35" i="87"/>
  <c r="E36" i="87"/>
  <c r="E37" i="87"/>
  <c r="E38" i="87"/>
  <c r="E39" i="87"/>
  <c r="E40" i="87"/>
  <c r="E41" i="87"/>
  <c r="E42" i="87"/>
  <c r="E43" i="87"/>
  <c r="E44" i="87"/>
  <c r="E45" i="87"/>
  <c r="E46" i="87"/>
  <c r="E47" i="87"/>
  <c r="E48" i="87"/>
  <c r="E49" i="87"/>
  <c r="E50" i="87"/>
  <c r="E51" i="87"/>
  <c r="E52" i="87"/>
  <c r="E53" i="87"/>
  <c r="E54" i="87"/>
  <c r="E55" i="87"/>
  <c r="E56" i="87"/>
  <c r="E57" i="87"/>
  <c r="E58" i="87"/>
  <c r="E59" i="87"/>
  <c r="E60" i="87"/>
  <c r="E62" i="87"/>
  <c r="E63" i="87"/>
  <c r="E64" i="87"/>
  <c r="E65" i="87"/>
  <c r="E66" i="87"/>
  <c r="E67" i="87"/>
  <c r="E68" i="87"/>
  <c r="E69" i="87"/>
  <c r="E70" i="87"/>
  <c r="E71" i="87"/>
  <c r="E72" i="87"/>
  <c r="E73" i="87"/>
  <c r="E74" i="87"/>
  <c r="E75" i="87"/>
  <c r="E76" i="87"/>
  <c r="E77" i="87"/>
  <c r="E78" i="87"/>
  <c r="E79" i="87"/>
  <c r="E80" i="87"/>
  <c r="E81" i="87"/>
  <c r="E82" i="87"/>
  <c r="E83" i="87"/>
  <c r="E84" i="87"/>
  <c r="E85" i="87"/>
  <c r="E86" i="87"/>
  <c r="E87" i="87"/>
  <c r="E88" i="87"/>
  <c r="E89" i="87"/>
  <c r="E90" i="87"/>
  <c r="E91" i="87"/>
  <c r="E92" i="87"/>
  <c r="E93" i="87"/>
  <c r="E94" i="87"/>
  <c r="E95" i="87"/>
  <c r="E96" i="87"/>
  <c r="E97" i="87"/>
  <c r="E98" i="87"/>
  <c r="E99" i="87"/>
  <c r="F8" i="87"/>
  <c r="E8" i="87"/>
  <c r="G59" i="87"/>
  <c r="G60" i="87"/>
  <c r="G61" i="87"/>
  <c r="G62" i="87"/>
  <c r="G63" i="87"/>
  <c r="G64" i="87"/>
  <c r="G65" i="87"/>
  <c r="G66" i="87"/>
  <c r="G67" i="87"/>
  <c r="G68" i="87"/>
  <c r="G69" i="87"/>
  <c r="G70" i="87"/>
  <c r="G71" i="87"/>
  <c r="G72" i="87"/>
  <c r="G73" i="87"/>
  <c r="G74" i="87"/>
  <c r="G75" i="87"/>
  <c r="G76" i="87"/>
  <c r="G77" i="87"/>
  <c r="G78" i="87"/>
  <c r="G79" i="87"/>
  <c r="G80" i="87"/>
  <c r="G81" i="87"/>
  <c r="G82" i="87"/>
  <c r="G83" i="87"/>
  <c r="G84" i="87"/>
  <c r="G85" i="87"/>
  <c r="G86" i="87"/>
  <c r="G87" i="87"/>
  <c r="G88" i="87"/>
  <c r="G89" i="87"/>
  <c r="G90" i="87"/>
  <c r="G91" i="87"/>
  <c r="G92" i="87"/>
  <c r="G93" i="87"/>
  <c r="G94" i="87"/>
  <c r="G95" i="87"/>
  <c r="G96" i="87"/>
  <c r="G97" i="87"/>
  <c r="G98" i="87"/>
  <c r="G99" i="87"/>
  <c r="G8" i="87"/>
  <c r="M9" i="87"/>
  <c r="AL9" i="97" s="1"/>
  <c r="AM9" i="97" s="1"/>
  <c r="M10" i="87"/>
  <c r="M11" i="87"/>
  <c r="M12" i="87"/>
  <c r="M13" i="87"/>
  <c r="M14" i="87"/>
  <c r="M15" i="87"/>
  <c r="M16" i="87"/>
  <c r="M17" i="87"/>
  <c r="M18" i="87"/>
  <c r="M19" i="87"/>
  <c r="M20" i="87"/>
  <c r="M21" i="87"/>
  <c r="M22" i="87"/>
  <c r="M23" i="87"/>
  <c r="M24" i="87"/>
  <c r="M25" i="87"/>
  <c r="M26" i="87"/>
  <c r="M27" i="87"/>
  <c r="M28" i="87"/>
  <c r="M29" i="87"/>
  <c r="M30" i="87"/>
  <c r="M31" i="87"/>
  <c r="M32" i="87"/>
  <c r="M33" i="87"/>
  <c r="M34" i="87"/>
  <c r="M35" i="87"/>
  <c r="M36" i="87"/>
  <c r="M37" i="87"/>
  <c r="M38" i="87"/>
  <c r="M39" i="87"/>
  <c r="M40" i="87"/>
  <c r="M41" i="87"/>
  <c r="M42" i="87"/>
  <c r="M43" i="87"/>
  <c r="M44" i="87"/>
  <c r="M45" i="87"/>
  <c r="M46" i="87"/>
  <c r="M47" i="87"/>
  <c r="M48" i="87"/>
  <c r="M49" i="87"/>
  <c r="M50" i="87"/>
  <c r="M51" i="87"/>
  <c r="M52" i="87"/>
  <c r="M53" i="87"/>
  <c r="M54" i="87"/>
  <c r="M55" i="87"/>
  <c r="M56" i="87"/>
  <c r="M57" i="87"/>
  <c r="M58" i="87"/>
  <c r="M63" i="87"/>
  <c r="M64" i="87"/>
  <c r="M65" i="87"/>
  <c r="M66" i="87"/>
  <c r="M67" i="87"/>
  <c r="M68" i="87"/>
  <c r="M69" i="87"/>
  <c r="M70" i="87"/>
  <c r="M71" i="87"/>
  <c r="M72" i="87"/>
  <c r="M73" i="87"/>
  <c r="M74" i="87"/>
  <c r="M75" i="87"/>
  <c r="M76" i="87"/>
  <c r="M77" i="87"/>
  <c r="M78" i="87"/>
  <c r="M79" i="87"/>
  <c r="M80" i="87"/>
  <c r="M81" i="87"/>
  <c r="M82" i="87"/>
  <c r="M83" i="87"/>
  <c r="M84" i="87"/>
  <c r="M85" i="87"/>
  <c r="M86" i="87"/>
  <c r="M87" i="87"/>
  <c r="M88" i="87"/>
  <c r="M89" i="87"/>
  <c r="M90" i="87"/>
  <c r="M91" i="87"/>
  <c r="M92" i="87"/>
  <c r="M93" i="87"/>
  <c r="M94" i="87"/>
  <c r="M95" i="87"/>
  <c r="M96" i="87"/>
  <c r="M97" i="87"/>
  <c r="M98" i="87"/>
  <c r="M99" i="87"/>
  <c r="M8" i="87"/>
  <c r="K9" i="87"/>
  <c r="AF9" i="97" s="1"/>
  <c r="AG9" i="97" s="1"/>
  <c r="L9" i="87"/>
  <c r="K10" i="87"/>
  <c r="L10" i="87"/>
  <c r="K11" i="87"/>
  <c r="L11" i="87"/>
  <c r="K12" i="87"/>
  <c r="L12" i="87"/>
  <c r="K13" i="87"/>
  <c r="L13" i="87"/>
  <c r="K14" i="87"/>
  <c r="L14" i="87"/>
  <c r="K15" i="87"/>
  <c r="L15" i="87"/>
  <c r="K16" i="87"/>
  <c r="L16" i="87"/>
  <c r="K17" i="87"/>
  <c r="L17" i="87"/>
  <c r="K18" i="87"/>
  <c r="L18" i="87"/>
  <c r="K19" i="87"/>
  <c r="L19" i="87"/>
  <c r="K20" i="87"/>
  <c r="L20" i="87"/>
  <c r="K21" i="87"/>
  <c r="L21" i="87"/>
  <c r="K22" i="87"/>
  <c r="L22" i="87"/>
  <c r="K23" i="87"/>
  <c r="L23" i="87"/>
  <c r="K24" i="87"/>
  <c r="L24" i="87"/>
  <c r="K25" i="87"/>
  <c r="L25" i="87"/>
  <c r="K26" i="87"/>
  <c r="L26" i="87"/>
  <c r="K27" i="87"/>
  <c r="L27" i="87"/>
  <c r="K28" i="87"/>
  <c r="L28" i="87"/>
  <c r="K29" i="87"/>
  <c r="L29" i="87"/>
  <c r="K30" i="87"/>
  <c r="L30" i="87"/>
  <c r="K31" i="87"/>
  <c r="L31" i="87"/>
  <c r="K32" i="87"/>
  <c r="L32" i="87"/>
  <c r="K33" i="87"/>
  <c r="L33" i="87"/>
  <c r="K34" i="87"/>
  <c r="L34" i="87"/>
  <c r="K35" i="87"/>
  <c r="L35" i="87"/>
  <c r="K36" i="87"/>
  <c r="L36" i="87"/>
  <c r="K37" i="87"/>
  <c r="L37" i="87"/>
  <c r="K38" i="87"/>
  <c r="L38" i="87"/>
  <c r="K39" i="87"/>
  <c r="L39" i="87"/>
  <c r="K40" i="87"/>
  <c r="L40" i="87"/>
  <c r="K41" i="87"/>
  <c r="L41" i="87"/>
  <c r="K42" i="87"/>
  <c r="L42" i="87"/>
  <c r="K43" i="87"/>
  <c r="L43" i="87"/>
  <c r="K44" i="87"/>
  <c r="L44" i="87"/>
  <c r="K45" i="87"/>
  <c r="L45" i="87"/>
  <c r="K46" i="87"/>
  <c r="L46" i="87"/>
  <c r="K47" i="87"/>
  <c r="L47" i="87"/>
  <c r="K48" i="87"/>
  <c r="L48" i="87"/>
  <c r="K49" i="87"/>
  <c r="L49" i="87"/>
  <c r="K50" i="87"/>
  <c r="L50" i="87"/>
  <c r="K51" i="87"/>
  <c r="L51" i="87"/>
  <c r="K52" i="87"/>
  <c r="L52" i="87"/>
  <c r="K53" i="87"/>
  <c r="L53" i="87"/>
  <c r="K54" i="87"/>
  <c r="L54" i="87"/>
  <c r="K55" i="87"/>
  <c r="L55" i="87"/>
  <c r="K56" i="87"/>
  <c r="L56" i="87"/>
  <c r="K57" i="87"/>
  <c r="L57" i="87"/>
  <c r="K58" i="87"/>
  <c r="L58" i="87"/>
  <c r="L59" i="87"/>
  <c r="K60" i="87"/>
  <c r="L60" i="87"/>
  <c r="K63" i="87"/>
  <c r="K64" i="87"/>
  <c r="L64" i="87"/>
  <c r="K65" i="87"/>
  <c r="L65" i="87"/>
  <c r="K66" i="87"/>
  <c r="L66" i="87"/>
  <c r="K67" i="87"/>
  <c r="L67" i="87"/>
  <c r="K68" i="87"/>
  <c r="L68" i="87"/>
  <c r="K69" i="87"/>
  <c r="L69" i="87"/>
  <c r="K70" i="87"/>
  <c r="L70" i="87"/>
  <c r="K71" i="87"/>
  <c r="L71" i="87"/>
  <c r="K72" i="87"/>
  <c r="L72" i="87"/>
  <c r="K73" i="87"/>
  <c r="L73" i="87"/>
  <c r="K74" i="87"/>
  <c r="L74" i="87"/>
  <c r="K75" i="87"/>
  <c r="L75" i="87"/>
  <c r="K76" i="87"/>
  <c r="L76" i="87"/>
  <c r="K77" i="87"/>
  <c r="L77" i="87"/>
  <c r="K78" i="87"/>
  <c r="L78" i="87"/>
  <c r="K79" i="87"/>
  <c r="L79" i="87"/>
  <c r="K80" i="87"/>
  <c r="L80" i="87"/>
  <c r="K81" i="87"/>
  <c r="L81" i="87"/>
  <c r="K82" i="87"/>
  <c r="L82" i="87"/>
  <c r="K83" i="87"/>
  <c r="L83" i="87"/>
  <c r="K84" i="87"/>
  <c r="L84" i="87"/>
  <c r="K85" i="87"/>
  <c r="L85" i="87"/>
  <c r="K86" i="87"/>
  <c r="L86" i="87"/>
  <c r="K87" i="87"/>
  <c r="L87" i="87"/>
  <c r="K88" i="87"/>
  <c r="L88" i="87"/>
  <c r="K89" i="87"/>
  <c r="L89" i="87"/>
  <c r="K90" i="87"/>
  <c r="L90" i="87"/>
  <c r="K91" i="87"/>
  <c r="L91" i="87"/>
  <c r="K92" i="87"/>
  <c r="L92" i="87"/>
  <c r="K93" i="87"/>
  <c r="L93" i="87"/>
  <c r="K94" i="87"/>
  <c r="L94" i="87"/>
  <c r="K95" i="87"/>
  <c r="L95" i="87"/>
  <c r="K96" i="87"/>
  <c r="L96" i="87"/>
  <c r="K97" i="87"/>
  <c r="L97" i="87"/>
  <c r="K98" i="87"/>
  <c r="L98" i="87"/>
  <c r="K99" i="87"/>
  <c r="L99" i="87"/>
  <c r="O18" i="85"/>
  <c r="AB18" i="85" s="1"/>
  <c r="O19" i="85"/>
  <c r="AB19" i="85" s="1"/>
  <c r="O20" i="85"/>
  <c r="AB20" i="85" s="1"/>
  <c r="O21" i="85"/>
  <c r="AB21" i="85" s="1"/>
  <c r="O22" i="85"/>
  <c r="AB22" i="85" s="1"/>
  <c r="O23" i="85"/>
  <c r="AB23" i="85" s="1"/>
  <c r="O24" i="85"/>
  <c r="AB24" i="85" s="1"/>
  <c r="O25" i="85"/>
  <c r="AB25" i="85" s="1"/>
  <c r="O26" i="85"/>
  <c r="AB26" i="85" s="1"/>
  <c r="O27" i="85"/>
  <c r="AB27" i="85" s="1"/>
  <c r="O28" i="85"/>
  <c r="AB28" i="85" s="1"/>
  <c r="O29" i="85"/>
  <c r="AB29" i="85" s="1"/>
  <c r="O30" i="85"/>
  <c r="AB30" i="85" s="1"/>
  <c r="O31" i="85"/>
  <c r="AB31" i="85" s="1"/>
  <c r="O32" i="85"/>
  <c r="AB32" i="85" s="1"/>
  <c r="O33" i="85"/>
  <c r="AB33" i="85" s="1"/>
  <c r="O34" i="85"/>
  <c r="AB34" i="85" s="1"/>
  <c r="O35" i="85"/>
  <c r="AB35" i="85" s="1"/>
  <c r="O36" i="85"/>
  <c r="AB36" i="85" s="1"/>
  <c r="O37" i="85"/>
  <c r="AB37" i="85" s="1"/>
  <c r="O38" i="85"/>
  <c r="AB38" i="85" s="1"/>
  <c r="O39" i="85"/>
  <c r="AB39" i="85" s="1"/>
  <c r="O40" i="85"/>
  <c r="P40" i="85" s="1"/>
  <c r="AA40" i="85" s="1"/>
  <c r="O41" i="85"/>
  <c r="AB41" i="85" s="1"/>
  <c r="O42" i="85"/>
  <c r="AB42" i="85" s="1"/>
  <c r="O43" i="85"/>
  <c r="AB43" i="85" s="1"/>
  <c r="O44" i="85"/>
  <c r="AB44" i="85" s="1"/>
  <c r="O45" i="85"/>
  <c r="AB45" i="85" s="1"/>
  <c r="O46" i="85"/>
  <c r="AB46" i="85" s="1"/>
  <c r="O47" i="85"/>
  <c r="AB47" i="85" s="1"/>
  <c r="O48" i="85"/>
  <c r="AB48" i="85" s="1"/>
  <c r="O49" i="85"/>
  <c r="AB49" i="85" s="1"/>
  <c r="O50" i="85"/>
  <c r="AB50" i="85" s="1"/>
  <c r="O51" i="85"/>
  <c r="P51" i="85" s="1"/>
  <c r="AA51" i="85" s="1"/>
  <c r="O52" i="85"/>
  <c r="AB52" i="85" s="1"/>
  <c r="O53" i="85"/>
  <c r="AB53" i="85" s="1"/>
  <c r="O54" i="85"/>
  <c r="AB54" i="85" s="1"/>
  <c r="O55" i="85"/>
  <c r="AB55" i="85" s="1"/>
  <c r="O56" i="85"/>
  <c r="AB56" i="85" s="1"/>
  <c r="O57" i="85"/>
  <c r="AB57" i="85" s="1"/>
  <c r="O58" i="85"/>
  <c r="AB58" i="85" s="1"/>
  <c r="O59" i="85"/>
  <c r="AB59" i="85" s="1"/>
  <c r="O62" i="85"/>
  <c r="AB62" i="85" s="1"/>
  <c r="O63" i="85"/>
  <c r="AB63" i="85" s="1"/>
  <c r="O64" i="85"/>
  <c r="AB64" i="85" s="1"/>
  <c r="O65" i="85"/>
  <c r="P65" i="85" s="1"/>
  <c r="O66" i="85"/>
  <c r="P66" i="85" s="1"/>
  <c r="O67" i="85"/>
  <c r="P67" i="85" s="1"/>
  <c r="O68" i="85"/>
  <c r="P68" i="85" s="1"/>
  <c r="O69" i="85"/>
  <c r="P69" i="85" s="1"/>
  <c r="O70" i="85"/>
  <c r="P70" i="85" s="1"/>
  <c r="O71" i="85"/>
  <c r="P71" i="85" s="1"/>
  <c r="O72" i="85"/>
  <c r="P72" i="85" s="1"/>
  <c r="O73" i="85"/>
  <c r="P73" i="85" s="1"/>
  <c r="O74" i="85"/>
  <c r="P74" i="85" s="1"/>
  <c r="O75" i="85"/>
  <c r="P75" i="85" s="1"/>
  <c r="O76" i="85"/>
  <c r="P76" i="85" s="1"/>
  <c r="O77" i="85"/>
  <c r="P77" i="85" s="1"/>
  <c r="O78" i="85"/>
  <c r="P78" i="85" s="1"/>
  <c r="O79" i="85"/>
  <c r="P79" i="85" s="1"/>
  <c r="O80" i="85"/>
  <c r="P80" i="85" s="1"/>
  <c r="O81" i="85"/>
  <c r="P81" i="85" s="1"/>
  <c r="O82" i="85"/>
  <c r="P82" i="85" s="1"/>
  <c r="O83" i="85"/>
  <c r="P83" i="85" s="1"/>
  <c r="O84" i="85"/>
  <c r="P84" i="85" s="1"/>
  <c r="O85" i="85"/>
  <c r="P85" i="85" s="1"/>
  <c r="O86" i="85"/>
  <c r="P86" i="85" s="1"/>
  <c r="O87" i="85"/>
  <c r="P87" i="85" s="1"/>
  <c r="O88" i="85"/>
  <c r="P88" i="85" s="1"/>
  <c r="O89" i="85"/>
  <c r="P89" i="85" s="1"/>
  <c r="O90" i="85"/>
  <c r="P90" i="85" s="1"/>
  <c r="O91" i="85"/>
  <c r="P91" i="85" s="1"/>
  <c r="O92" i="85"/>
  <c r="P92" i="85" s="1"/>
  <c r="O93" i="85"/>
  <c r="P93" i="85" s="1"/>
  <c r="O94" i="85"/>
  <c r="P94" i="85" s="1"/>
  <c r="O95" i="85"/>
  <c r="P95" i="85" s="1"/>
  <c r="O96" i="85"/>
  <c r="P96" i="85" s="1"/>
  <c r="O97" i="85"/>
  <c r="P97" i="85" s="1"/>
  <c r="O98" i="85"/>
  <c r="P98" i="85" s="1"/>
  <c r="O99" i="85"/>
  <c r="P99" i="85" s="1"/>
  <c r="O100" i="85"/>
  <c r="P100" i="85" s="1"/>
  <c r="O101" i="85"/>
  <c r="P101" i="85" s="1"/>
  <c r="O102" i="85"/>
  <c r="P102" i="85" s="1"/>
  <c r="O103" i="85"/>
  <c r="P103" i="85" s="1"/>
  <c r="A65" i="1"/>
  <c r="A66" i="1"/>
  <c r="A67" i="1"/>
  <c r="A68" i="1"/>
  <c r="A69" i="1"/>
  <c r="A70" i="1"/>
  <c r="A71" i="1"/>
  <c r="A72" i="1"/>
  <c r="A73" i="1"/>
  <c r="A74" i="1"/>
  <c r="A75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8" i="1"/>
  <c r="H9" i="97" l="1"/>
  <c r="I9" i="97" s="1"/>
  <c r="AI9" i="97"/>
  <c r="AJ9" i="97" s="1"/>
  <c r="Q9" i="97"/>
  <c r="R9" i="97" s="1"/>
  <c r="P10" i="85"/>
  <c r="AB10" i="85"/>
  <c r="P63" i="85"/>
  <c r="AA63" i="85" s="1"/>
  <c r="P57" i="85"/>
  <c r="AA57" i="85" s="1"/>
  <c r="P53" i="85"/>
  <c r="AA53" i="85" s="1"/>
  <c r="P49" i="85"/>
  <c r="AA49" i="85" s="1"/>
  <c r="P45" i="85"/>
  <c r="AA45" i="85" s="1"/>
  <c r="P41" i="85"/>
  <c r="AA41" i="85" s="1"/>
  <c r="P37" i="85"/>
  <c r="AA37" i="85" s="1"/>
  <c r="P33" i="85"/>
  <c r="AA33" i="85" s="1"/>
  <c r="P29" i="85"/>
  <c r="AA29" i="85" s="1"/>
  <c r="P25" i="85"/>
  <c r="P21" i="85"/>
  <c r="P17" i="85"/>
  <c r="P13" i="85"/>
  <c r="P62" i="85"/>
  <c r="AA62" i="85" s="1"/>
  <c r="P56" i="85"/>
  <c r="AA56" i="85" s="1"/>
  <c r="P52" i="85"/>
  <c r="AA52" i="85" s="1"/>
  <c r="P48" i="85"/>
  <c r="AA48" i="85" s="1"/>
  <c r="P44" i="85"/>
  <c r="AA44" i="85" s="1"/>
  <c r="P36" i="85"/>
  <c r="AA36" i="85" s="1"/>
  <c r="P32" i="85"/>
  <c r="AA32" i="85" s="1"/>
  <c r="P28" i="85"/>
  <c r="AA28" i="85" s="1"/>
  <c r="P24" i="85"/>
  <c r="P16" i="85"/>
  <c r="P12" i="85"/>
  <c r="P59" i="85"/>
  <c r="AA59" i="85" s="1"/>
  <c r="P55" i="85"/>
  <c r="AA55" i="85" s="1"/>
  <c r="P47" i="85"/>
  <c r="AA47" i="85" s="1"/>
  <c r="P43" i="85"/>
  <c r="AA43" i="85" s="1"/>
  <c r="P39" i="85"/>
  <c r="AA39" i="85" s="1"/>
  <c r="P35" i="85"/>
  <c r="AA35" i="85" s="1"/>
  <c r="P31" i="85"/>
  <c r="AA31" i="85" s="1"/>
  <c r="P27" i="85"/>
  <c r="AA27" i="85" s="1"/>
  <c r="P23" i="85"/>
  <c r="P19" i="85"/>
  <c r="P15" i="85"/>
  <c r="P11" i="85"/>
  <c r="P20" i="85"/>
  <c r="P64" i="85"/>
  <c r="P58" i="85"/>
  <c r="AA58" i="85" s="1"/>
  <c r="P54" i="85"/>
  <c r="AA54" i="85" s="1"/>
  <c r="P50" i="85"/>
  <c r="AA50" i="85" s="1"/>
  <c r="P46" i="85"/>
  <c r="AA46" i="85" s="1"/>
  <c r="P42" i="85"/>
  <c r="AA42" i="85" s="1"/>
  <c r="P38" i="85"/>
  <c r="AA38" i="85" s="1"/>
  <c r="P34" i="85"/>
  <c r="AA34" i="85" s="1"/>
  <c r="P30" i="85"/>
  <c r="AA30" i="85" s="1"/>
  <c r="P26" i="85"/>
  <c r="AA26" i="85" s="1"/>
  <c r="P22" i="85"/>
  <c r="P18" i="85"/>
  <c r="P9" i="85"/>
  <c r="AB65" i="85"/>
  <c r="P14" i="85"/>
  <c r="I76" i="1"/>
  <c r="W12" i="85"/>
  <c r="X12" i="85"/>
  <c r="W13" i="85"/>
  <c r="X13" i="85"/>
  <c r="W14" i="85"/>
  <c r="X14" i="85"/>
  <c r="W15" i="85"/>
  <c r="X15" i="85"/>
  <c r="W16" i="85"/>
  <c r="X16" i="85"/>
  <c r="W17" i="85"/>
  <c r="X17" i="85"/>
  <c r="W18" i="85"/>
  <c r="X18" i="85"/>
  <c r="BP18" i="97" s="1"/>
  <c r="W19" i="85"/>
  <c r="X19" i="85"/>
  <c r="BP19" i="97" s="1"/>
  <c r="W21" i="85"/>
  <c r="BP21" i="97"/>
  <c r="W22" i="85"/>
  <c r="X22" i="85"/>
  <c r="BP22" i="97" s="1"/>
  <c r="W23" i="85"/>
  <c r="X23" i="85"/>
  <c r="BP23" i="97" s="1"/>
  <c r="W24" i="85"/>
  <c r="X24" i="85"/>
  <c r="BP24" i="97" s="1"/>
  <c r="W25" i="85"/>
  <c r="X25" i="85"/>
  <c r="BP25" i="97" s="1"/>
  <c r="W26" i="85"/>
  <c r="X26" i="85"/>
  <c r="BP26" i="97" s="1"/>
  <c r="W27" i="85"/>
  <c r="X27" i="85"/>
  <c r="BP27" i="97" s="1"/>
  <c r="W28" i="85"/>
  <c r="X28" i="85"/>
  <c r="BP28" i="97" s="1"/>
  <c r="W29" i="85"/>
  <c r="X29" i="85"/>
  <c r="BP29" i="97" s="1"/>
  <c r="W30" i="85"/>
  <c r="X30" i="85"/>
  <c r="BP30" i="97" s="1"/>
  <c r="W31" i="85"/>
  <c r="X31" i="85"/>
  <c r="BP31" i="97" s="1"/>
  <c r="W32" i="85"/>
  <c r="X32" i="85"/>
  <c r="BP32" i="97" s="1"/>
  <c r="W35" i="85"/>
  <c r="X35" i="85"/>
  <c r="BP35" i="97" s="1"/>
  <c r="W36" i="85"/>
  <c r="CH36" i="97" s="1"/>
  <c r="X36" i="85"/>
  <c r="BP36" i="97" s="1"/>
  <c r="W37" i="85"/>
  <c r="CH37" i="97" s="1"/>
  <c r="X37" i="85"/>
  <c r="BP37" i="97" s="1"/>
  <c r="W38" i="85"/>
  <c r="CH38" i="97" s="1"/>
  <c r="X38" i="85"/>
  <c r="BP38" i="97" s="1"/>
  <c r="W39" i="85"/>
  <c r="CH39" i="97" s="1"/>
  <c r="X39" i="85"/>
  <c r="BP39" i="97" s="1"/>
  <c r="W40" i="85"/>
  <c r="X40" i="85"/>
  <c r="BP40" i="97" s="1"/>
  <c r="W41" i="85"/>
  <c r="X41" i="85"/>
  <c r="BP41" i="97" s="1"/>
  <c r="W42" i="85"/>
  <c r="X42" i="85"/>
  <c r="BP42" i="97" s="1"/>
  <c r="W43" i="85"/>
  <c r="X43" i="85"/>
  <c r="BP43" i="97" s="1"/>
  <c r="W44" i="85"/>
  <c r="X44" i="85"/>
  <c r="BP44" i="97" s="1"/>
  <c r="W45" i="85"/>
  <c r="X45" i="85"/>
  <c r="BP45" i="97" s="1"/>
  <c r="W46" i="85"/>
  <c r="X46" i="85"/>
  <c r="BP46" i="97" s="1"/>
  <c r="W47" i="85"/>
  <c r="X47" i="85"/>
  <c r="BP47" i="97" s="1"/>
  <c r="W48" i="85"/>
  <c r="X48" i="85"/>
  <c r="BP48" i="97" s="1"/>
  <c r="W49" i="85"/>
  <c r="X49" i="85"/>
  <c r="BP49" i="97" s="1"/>
  <c r="W50" i="85"/>
  <c r="X50" i="85"/>
  <c r="BP50" i="97" s="1"/>
  <c r="W51" i="85"/>
  <c r="X51" i="85"/>
  <c r="BP51" i="97" s="1"/>
  <c r="W52" i="85"/>
  <c r="X52" i="85"/>
  <c r="BP52" i="97" s="1"/>
  <c r="W53" i="85"/>
  <c r="X53" i="85"/>
  <c r="BP53" i="97" s="1"/>
  <c r="W54" i="85"/>
  <c r="X54" i="85"/>
  <c r="BP54" i="97" s="1"/>
  <c r="W55" i="85"/>
  <c r="X55" i="85"/>
  <c r="BP55" i="97" s="1"/>
  <c r="W56" i="85"/>
  <c r="X56" i="85"/>
  <c r="BP56" i="97" s="1"/>
  <c r="W57" i="85"/>
  <c r="X57" i="85"/>
  <c r="BP57" i="97" s="1"/>
  <c r="W58" i="85"/>
  <c r="X58" i="85"/>
  <c r="BP58" i="97" s="1"/>
  <c r="W59" i="85"/>
  <c r="X59" i="85"/>
  <c r="BP59" i="97" s="1"/>
  <c r="O8" i="97"/>
  <c r="C4" i="96"/>
  <c r="G3" i="96"/>
  <c r="E41" i="96" l="1"/>
  <c r="E40" i="96"/>
  <c r="CH27" i="97"/>
  <c r="C45" i="99" l="1"/>
  <c r="C46" i="99"/>
  <c r="J75" i="1" l="1"/>
  <c r="H75" i="1"/>
  <c r="D75" i="1"/>
  <c r="C75" i="1"/>
  <c r="B75" i="1"/>
  <c r="J74" i="1"/>
  <c r="H74" i="1"/>
  <c r="D74" i="1"/>
  <c r="C74" i="1"/>
  <c r="B74" i="1"/>
  <c r="J73" i="1"/>
  <c r="H73" i="1"/>
  <c r="D73" i="1"/>
  <c r="C73" i="1"/>
  <c r="B73" i="1"/>
  <c r="J72" i="1"/>
  <c r="H72" i="1"/>
  <c r="D72" i="1"/>
  <c r="C72" i="1"/>
  <c r="B72" i="1"/>
  <c r="J71" i="1"/>
  <c r="H71" i="1"/>
  <c r="D71" i="1"/>
  <c r="C71" i="1"/>
  <c r="B71" i="1"/>
  <c r="J70" i="1"/>
  <c r="H70" i="1"/>
  <c r="D70" i="1"/>
  <c r="C70" i="1"/>
  <c r="B70" i="1"/>
  <c r="H69" i="1"/>
  <c r="H68" i="1"/>
  <c r="H67" i="1"/>
  <c r="H66" i="1"/>
  <c r="H65" i="1"/>
  <c r="H64" i="1"/>
  <c r="H63" i="1"/>
  <c r="H62" i="1"/>
  <c r="H61" i="1"/>
  <c r="D61" i="1"/>
  <c r="B61" i="1"/>
  <c r="H60" i="1"/>
  <c r="D60" i="1"/>
  <c r="B60" i="1"/>
  <c r="H59" i="1"/>
  <c r="D59" i="1"/>
  <c r="C59" i="1"/>
  <c r="B59" i="1"/>
  <c r="H58" i="1"/>
  <c r="D58" i="1"/>
  <c r="C58" i="1"/>
  <c r="B58" i="1"/>
  <c r="H57" i="1"/>
  <c r="D57" i="1"/>
  <c r="C57" i="1"/>
  <c r="B57" i="1"/>
  <c r="J56" i="1"/>
  <c r="H56" i="1"/>
  <c r="D56" i="1"/>
  <c r="C56" i="1"/>
  <c r="B56" i="1"/>
  <c r="J55" i="1"/>
  <c r="H55" i="1"/>
  <c r="D55" i="1"/>
  <c r="C55" i="1"/>
  <c r="B55" i="1"/>
  <c r="J54" i="1"/>
  <c r="H54" i="1"/>
  <c r="D54" i="1"/>
  <c r="C54" i="1"/>
  <c r="B54" i="1"/>
  <c r="J53" i="1"/>
  <c r="H53" i="1"/>
  <c r="D53" i="1"/>
  <c r="C53" i="1"/>
  <c r="B53" i="1"/>
  <c r="J52" i="1"/>
  <c r="H52" i="1"/>
  <c r="D52" i="1"/>
  <c r="C52" i="1"/>
  <c r="B52" i="1"/>
  <c r="J51" i="1"/>
  <c r="H51" i="1"/>
  <c r="D51" i="1"/>
  <c r="C51" i="1"/>
  <c r="B51" i="1"/>
  <c r="J50" i="1"/>
  <c r="H50" i="1"/>
  <c r="D50" i="1"/>
  <c r="C50" i="1"/>
  <c r="B50" i="1"/>
  <c r="J49" i="1"/>
  <c r="H49" i="1"/>
  <c r="G49" i="1"/>
  <c r="D49" i="1"/>
  <c r="C49" i="1"/>
  <c r="B49" i="1"/>
  <c r="J48" i="1"/>
  <c r="H48" i="1"/>
  <c r="D48" i="1"/>
  <c r="C48" i="1"/>
  <c r="B48" i="1"/>
  <c r="J47" i="1"/>
  <c r="H47" i="1"/>
  <c r="D47" i="1"/>
  <c r="C47" i="1"/>
  <c r="B47" i="1"/>
  <c r="J46" i="1"/>
  <c r="H46" i="1"/>
  <c r="D46" i="1"/>
  <c r="C46" i="1"/>
  <c r="B46" i="1"/>
  <c r="J45" i="1"/>
  <c r="H45" i="1"/>
  <c r="D45" i="1"/>
  <c r="C45" i="1"/>
  <c r="B45" i="1"/>
  <c r="J44" i="1"/>
  <c r="H44" i="1"/>
  <c r="D44" i="1"/>
  <c r="C44" i="1"/>
  <c r="B44" i="1"/>
  <c r="J43" i="1"/>
  <c r="H43" i="1"/>
  <c r="D43" i="1"/>
  <c r="C43" i="1"/>
  <c r="B43" i="1"/>
  <c r="J42" i="1"/>
  <c r="H42" i="1"/>
  <c r="D42" i="1"/>
  <c r="C42" i="1"/>
  <c r="B42" i="1"/>
  <c r="J41" i="1"/>
  <c r="H41" i="1"/>
  <c r="D41" i="1"/>
  <c r="C41" i="1"/>
  <c r="B41" i="1"/>
  <c r="J40" i="1"/>
  <c r="H40" i="1"/>
  <c r="D40" i="1"/>
  <c r="C40" i="1"/>
  <c r="B40" i="1"/>
  <c r="J39" i="1"/>
  <c r="H39" i="1"/>
  <c r="D39" i="1"/>
  <c r="C39" i="1"/>
  <c r="B39" i="1"/>
  <c r="J38" i="1"/>
  <c r="H38" i="1"/>
  <c r="D38" i="1"/>
  <c r="C38" i="1"/>
  <c r="B38" i="1"/>
  <c r="J37" i="1"/>
  <c r="H37" i="1"/>
  <c r="G37" i="1"/>
  <c r="D37" i="1"/>
  <c r="C37" i="1"/>
  <c r="B37" i="1"/>
  <c r="J36" i="1"/>
  <c r="H36" i="1"/>
  <c r="D36" i="1"/>
  <c r="C36" i="1"/>
  <c r="B36" i="1"/>
  <c r="J35" i="1"/>
  <c r="H35" i="1"/>
  <c r="D35" i="1"/>
  <c r="C35" i="1"/>
  <c r="B35" i="1"/>
  <c r="J34" i="1"/>
  <c r="H34" i="1"/>
  <c r="D34" i="1"/>
  <c r="C34" i="1"/>
  <c r="B34" i="1"/>
  <c r="J33" i="1"/>
  <c r="H33" i="1"/>
  <c r="D33" i="1"/>
  <c r="C33" i="1"/>
  <c r="B33" i="1"/>
  <c r="J32" i="1"/>
  <c r="H32" i="1"/>
  <c r="D32" i="1"/>
  <c r="C32" i="1"/>
  <c r="B32" i="1"/>
  <c r="J31" i="1"/>
  <c r="H31" i="1"/>
  <c r="D31" i="1"/>
  <c r="C31" i="1"/>
  <c r="B31" i="1"/>
  <c r="J30" i="1"/>
  <c r="H30" i="1"/>
  <c r="D30" i="1"/>
  <c r="C30" i="1"/>
  <c r="B30" i="1"/>
  <c r="J29" i="1"/>
  <c r="H29" i="1"/>
  <c r="D29" i="1"/>
  <c r="C29" i="1"/>
  <c r="B29" i="1"/>
  <c r="J28" i="1"/>
  <c r="H28" i="1"/>
  <c r="D28" i="1"/>
  <c r="C28" i="1"/>
  <c r="B28" i="1"/>
  <c r="J27" i="1"/>
  <c r="H27" i="1"/>
  <c r="G27" i="1"/>
  <c r="F27" i="1"/>
  <c r="D27" i="1"/>
  <c r="C27" i="1"/>
  <c r="B27" i="1"/>
  <c r="J26" i="1"/>
  <c r="H26" i="1"/>
  <c r="D26" i="1"/>
  <c r="C26" i="1"/>
  <c r="B26" i="1"/>
  <c r="J25" i="1"/>
  <c r="H25" i="1"/>
  <c r="D25" i="1"/>
  <c r="C25" i="1"/>
  <c r="B25" i="1"/>
  <c r="J24" i="1"/>
  <c r="H24" i="1"/>
  <c r="D24" i="1"/>
  <c r="C24" i="1"/>
  <c r="B24" i="1"/>
  <c r="J23" i="1"/>
  <c r="H23" i="1"/>
  <c r="D23" i="1"/>
  <c r="C23" i="1"/>
  <c r="B23" i="1"/>
  <c r="J22" i="1"/>
  <c r="H22" i="1"/>
  <c r="D22" i="1"/>
  <c r="C22" i="1"/>
  <c r="B22" i="1"/>
  <c r="J21" i="1"/>
  <c r="H21" i="1"/>
  <c r="G21" i="1"/>
  <c r="D21" i="1"/>
  <c r="C21" i="1"/>
  <c r="B21" i="1"/>
  <c r="J20" i="1"/>
  <c r="H20" i="1"/>
  <c r="D20" i="1"/>
  <c r="C20" i="1"/>
  <c r="B20" i="1"/>
  <c r="J19" i="1"/>
  <c r="H19" i="1"/>
  <c r="D19" i="1"/>
  <c r="C19" i="1"/>
  <c r="B19" i="1"/>
  <c r="J18" i="1"/>
  <c r="H18" i="1"/>
  <c r="D18" i="1"/>
  <c r="C18" i="1"/>
  <c r="B18" i="1"/>
  <c r="J17" i="1"/>
  <c r="H17" i="1"/>
  <c r="D17" i="1"/>
  <c r="C17" i="1"/>
  <c r="B17" i="1"/>
  <c r="J16" i="1"/>
  <c r="H16" i="1"/>
  <c r="D16" i="1"/>
  <c r="C16" i="1"/>
  <c r="B16" i="1"/>
  <c r="J15" i="1"/>
  <c r="H15" i="1"/>
  <c r="D15" i="1"/>
  <c r="C15" i="1"/>
  <c r="B15" i="1"/>
  <c r="J14" i="1"/>
  <c r="H14" i="1"/>
  <c r="D14" i="1"/>
  <c r="C14" i="1"/>
  <c r="B14" i="1"/>
  <c r="J13" i="1"/>
  <c r="H13" i="1"/>
  <c r="D13" i="1"/>
  <c r="C13" i="1"/>
  <c r="B13" i="1"/>
  <c r="J12" i="1"/>
  <c r="H12" i="1"/>
  <c r="D12" i="1"/>
  <c r="C12" i="1"/>
  <c r="B12" i="1"/>
  <c r="J11" i="1"/>
  <c r="H11" i="1"/>
  <c r="D11" i="1"/>
  <c r="C11" i="1"/>
  <c r="B11" i="1"/>
  <c r="J10" i="1"/>
  <c r="H10" i="1"/>
  <c r="D10" i="1"/>
  <c r="C10" i="1"/>
  <c r="B10" i="1"/>
  <c r="J9" i="1"/>
  <c r="H9" i="1"/>
  <c r="D9" i="1"/>
  <c r="C9" i="1"/>
  <c r="B9" i="1"/>
  <c r="J8" i="1"/>
  <c r="H8" i="1"/>
  <c r="D8" i="1"/>
  <c r="C8" i="1"/>
  <c r="B8" i="1"/>
  <c r="F73" i="100"/>
  <c r="E73" i="100"/>
  <c r="D73" i="100"/>
  <c r="C73" i="100"/>
  <c r="B73" i="100"/>
  <c r="F72" i="100"/>
  <c r="E72" i="100"/>
  <c r="D72" i="100"/>
  <c r="C72" i="100"/>
  <c r="B72" i="100"/>
  <c r="F71" i="100"/>
  <c r="E71" i="100"/>
  <c r="D71" i="100"/>
  <c r="C71" i="100"/>
  <c r="B71" i="100"/>
  <c r="F70" i="100"/>
  <c r="E70" i="100"/>
  <c r="D70" i="100"/>
  <c r="C70" i="100"/>
  <c r="B70" i="100"/>
  <c r="F69" i="100"/>
  <c r="E69" i="100"/>
  <c r="D69" i="100"/>
  <c r="C69" i="100"/>
  <c r="B69" i="100"/>
  <c r="F68" i="100"/>
  <c r="E68" i="100"/>
  <c r="D68" i="100"/>
  <c r="C68" i="100"/>
  <c r="B68" i="100"/>
  <c r="F67" i="100"/>
  <c r="E67" i="100"/>
  <c r="D67" i="100"/>
  <c r="C67" i="100"/>
  <c r="B67" i="100"/>
  <c r="F66" i="100"/>
  <c r="E66" i="100"/>
  <c r="D66" i="100"/>
  <c r="C66" i="100"/>
  <c r="B66" i="100"/>
  <c r="F65" i="100"/>
  <c r="E65" i="100"/>
  <c r="D65" i="100"/>
  <c r="C65" i="100"/>
  <c r="B65" i="100"/>
  <c r="F64" i="100"/>
  <c r="E64" i="100"/>
  <c r="D64" i="100"/>
  <c r="C64" i="100"/>
  <c r="B64" i="100"/>
  <c r="F63" i="100"/>
  <c r="E63" i="100"/>
  <c r="D63" i="100"/>
  <c r="C63" i="100"/>
  <c r="B63" i="100"/>
  <c r="E62" i="100"/>
  <c r="C62" i="100"/>
  <c r="B62" i="100"/>
  <c r="E61" i="100"/>
  <c r="C61" i="100"/>
  <c r="B61" i="100"/>
  <c r="F60" i="100"/>
  <c r="E60" i="100"/>
  <c r="D60" i="100"/>
  <c r="C60" i="100"/>
  <c r="B60" i="100"/>
  <c r="C59" i="100"/>
  <c r="B59" i="100"/>
  <c r="C58" i="100"/>
  <c r="B58" i="100"/>
  <c r="F57" i="100"/>
  <c r="E57" i="100"/>
  <c r="D57" i="100"/>
  <c r="C57" i="100"/>
  <c r="B57" i="100"/>
  <c r="C56" i="100"/>
  <c r="B56" i="100"/>
  <c r="F55" i="100"/>
  <c r="E55" i="100"/>
  <c r="D55" i="100"/>
  <c r="C55" i="100"/>
  <c r="B55" i="100"/>
  <c r="F54" i="100"/>
  <c r="E54" i="100"/>
  <c r="D54" i="100"/>
  <c r="C54" i="100"/>
  <c r="B54" i="100"/>
  <c r="E53" i="100"/>
  <c r="C53" i="100"/>
  <c r="B53" i="100"/>
  <c r="E52" i="100"/>
  <c r="C52" i="100"/>
  <c r="B52" i="100"/>
  <c r="E51" i="100"/>
  <c r="C51" i="100"/>
  <c r="B51" i="100"/>
  <c r="C50" i="100"/>
  <c r="B50" i="100"/>
  <c r="E49" i="100"/>
  <c r="C49" i="100"/>
  <c r="B49" i="100"/>
  <c r="E48" i="100"/>
  <c r="C48" i="100"/>
  <c r="B48" i="100"/>
  <c r="F47" i="100"/>
  <c r="E47" i="100"/>
  <c r="D47" i="100"/>
  <c r="C47" i="100"/>
  <c r="B47" i="100"/>
  <c r="C46" i="100"/>
  <c r="B46" i="100"/>
  <c r="C45" i="100"/>
  <c r="B45" i="100"/>
  <c r="F44" i="100"/>
  <c r="E44" i="100"/>
  <c r="D44" i="100"/>
  <c r="C44" i="100"/>
  <c r="B44" i="100"/>
  <c r="F43" i="100"/>
  <c r="E43" i="100"/>
  <c r="D43" i="100"/>
  <c r="C43" i="100"/>
  <c r="B43" i="100"/>
  <c r="E42" i="100"/>
  <c r="C42" i="100"/>
  <c r="B42" i="100"/>
  <c r="F41" i="100"/>
  <c r="E41" i="100"/>
  <c r="D41" i="100"/>
  <c r="C41" i="100"/>
  <c r="B41" i="100"/>
  <c r="F40" i="100"/>
  <c r="E40" i="100"/>
  <c r="D40" i="100"/>
  <c r="C40" i="100"/>
  <c r="B40" i="100"/>
  <c r="F39" i="100"/>
  <c r="E39" i="100"/>
  <c r="D39" i="100"/>
  <c r="C39" i="100"/>
  <c r="B39" i="100"/>
  <c r="F38" i="100"/>
  <c r="E38" i="100"/>
  <c r="D38" i="100"/>
  <c r="C38" i="100"/>
  <c r="B38" i="100"/>
  <c r="F37" i="100"/>
  <c r="E37" i="100"/>
  <c r="D37" i="100"/>
  <c r="C37" i="100"/>
  <c r="B37" i="100"/>
  <c r="F36" i="100"/>
  <c r="E36" i="100"/>
  <c r="D36" i="100"/>
  <c r="C36" i="100"/>
  <c r="B36" i="100"/>
  <c r="F35" i="100"/>
  <c r="E35" i="100"/>
  <c r="D35" i="100"/>
  <c r="C35" i="100"/>
  <c r="B35" i="100"/>
  <c r="F34" i="100"/>
  <c r="E34" i="100"/>
  <c r="D34" i="100"/>
  <c r="C34" i="100"/>
  <c r="B34" i="100"/>
  <c r="E33" i="100"/>
  <c r="C33" i="100"/>
  <c r="B33" i="100"/>
  <c r="E32" i="100"/>
  <c r="C32" i="100"/>
  <c r="B32" i="100"/>
  <c r="F31" i="100"/>
  <c r="E31" i="100"/>
  <c r="D31" i="100"/>
  <c r="C31" i="100"/>
  <c r="B31" i="100"/>
  <c r="F30" i="100"/>
  <c r="E30" i="100"/>
  <c r="D30" i="100"/>
  <c r="C30" i="100"/>
  <c r="B30" i="100"/>
  <c r="F29" i="100"/>
  <c r="E29" i="100"/>
  <c r="D29" i="100"/>
  <c r="C29" i="100"/>
  <c r="B29" i="100"/>
  <c r="C28" i="100"/>
  <c r="B28" i="100"/>
  <c r="F27" i="100"/>
  <c r="E27" i="100"/>
  <c r="D27" i="100"/>
  <c r="C27" i="100"/>
  <c r="B27" i="100"/>
  <c r="F26" i="100"/>
  <c r="E26" i="100"/>
  <c r="D26" i="100"/>
  <c r="C26" i="100"/>
  <c r="B26" i="100"/>
  <c r="F25" i="100"/>
  <c r="E25" i="100"/>
  <c r="D25" i="100"/>
  <c r="C25" i="100"/>
  <c r="B25" i="100"/>
  <c r="E24" i="100"/>
  <c r="C24" i="100"/>
  <c r="B24" i="100"/>
  <c r="E23" i="100"/>
  <c r="C23" i="100"/>
  <c r="B23" i="100"/>
  <c r="F22" i="100"/>
  <c r="E22" i="100"/>
  <c r="D22" i="100"/>
  <c r="C22" i="100"/>
  <c r="B22" i="100"/>
  <c r="F21" i="100"/>
  <c r="E21" i="100"/>
  <c r="D21" i="100"/>
  <c r="C21" i="100"/>
  <c r="B21" i="100"/>
  <c r="F20" i="100"/>
  <c r="E20" i="100"/>
  <c r="D20" i="100"/>
  <c r="C20" i="100"/>
  <c r="B20" i="100"/>
  <c r="F19" i="100"/>
  <c r="E19" i="100"/>
  <c r="D19" i="100"/>
  <c r="C19" i="100"/>
  <c r="B19" i="100"/>
  <c r="F18" i="100"/>
  <c r="E18" i="100"/>
  <c r="D18" i="100"/>
  <c r="C18" i="100"/>
  <c r="B18" i="100"/>
  <c r="F17" i="100"/>
  <c r="E17" i="100"/>
  <c r="D17" i="100"/>
  <c r="C17" i="100"/>
  <c r="B17" i="100"/>
  <c r="F16" i="100"/>
  <c r="E16" i="100"/>
  <c r="D16" i="100"/>
  <c r="C16" i="100"/>
  <c r="B16" i="100"/>
  <c r="F15" i="100"/>
  <c r="E15" i="100"/>
  <c r="D15" i="100"/>
  <c r="C15" i="100"/>
  <c r="B15" i="100"/>
  <c r="F14" i="100"/>
  <c r="E14" i="100"/>
  <c r="D14" i="100"/>
  <c r="C14" i="100"/>
  <c r="B14" i="100"/>
  <c r="F13" i="100"/>
  <c r="E13" i="100"/>
  <c r="D13" i="100"/>
  <c r="C13" i="100"/>
  <c r="B13" i="100"/>
  <c r="F12" i="100"/>
  <c r="E12" i="100"/>
  <c r="D12" i="100"/>
  <c r="C12" i="100"/>
  <c r="B12" i="100"/>
  <c r="F11" i="100"/>
  <c r="E11" i="100"/>
  <c r="D11" i="100"/>
  <c r="C11" i="100"/>
  <c r="B11" i="100"/>
  <c r="F10" i="100"/>
  <c r="E10" i="100"/>
  <c r="D10" i="100"/>
  <c r="C10" i="100"/>
  <c r="B10" i="100"/>
  <c r="F9" i="100"/>
  <c r="E9" i="100"/>
  <c r="D9" i="100"/>
  <c r="C9" i="100"/>
  <c r="B9" i="100"/>
  <c r="F8" i="100"/>
  <c r="E8" i="100"/>
  <c r="D8" i="100"/>
  <c r="C8" i="100"/>
  <c r="B8" i="100"/>
  <c r="D72" i="99"/>
  <c r="C72" i="99"/>
  <c r="B72" i="99"/>
  <c r="D71" i="99"/>
  <c r="C71" i="99"/>
  <c r="B71" i="99"/>
  <c r="D70" i="99"/>
  <c r="C70" i="99"/>
  <c r="B70" i="99"/>
  <c r="F69" i="99"/>
  <c r="D69" i="99"/>
  <c r="C69" i="99"/>
  <c r="B69" i="99"/>
  <c r="F68" i="99"/>
  <c r="D68" i="99"/>
  <c r="C68" i="99"/>
  <c r="B68" i="99"/>
  <c r="F67" i="99"/>
  <c r="D67" i="99"/>
  <c r="C67" i="99"/>
  <c r="B67" i="99"/>
  <c r="F66" i="99"/>
  <c r="D66" i="99"/>
  <c r="C66" i="99"/>
  <c r="B66" i="99"/>
  <c r="F65" i="99"/>
  <c r="D65" i="99"/>
  <c r="C65" i="99"/>
  <c r="B65" i="99"/>
  <c r="F64" i="99"/>
  <c r="D64" i="99"/>
  <c r="C64" i="99"/>
  <c r="B64" i="99"/>
  <c r="F63" i="99"/>
  <c r="D63" i="99"/>
  <c r="C63" i="99"/>
  <c r="B63" i="99"/>
  <c r="F62" i="99"/>
  <c r="D62" i="99"/>
  <c r="C62" i="99"/>
  <c r="B62" i="99"/>
  <c r="F61" i="99"/>
  <c r="D61" i="99"/>
  <c r="C61" i="99"/>
  <c r="B61" i="99"/>
  <c r="F60" i="99"/>
  <c r="D60" i="99"/>
  <c r="C60" i="99"/>
  <c r="B60" i="99"/>
  <c r="F59" i="99"/>
  <c r="D59" i="99"/>
  <c r="C59" i="99"/>
  <c r="B59" i="99"/>
  <c r="F58" i="99"/>
  <c r="D58" i="99"/>
  <c r="C58" i="99"/>
  <c r="B58" i="99"/>
  <c r="D57" i="99"/>
  <c r="C57" i="99"/>
  <c r="B57" i="99"/>
  <c r="F56" i="99"/>
  <c r="D56" i="99"/>
  <c r="C56" i="99"/>
  <c r="B56" i="99"/>
  <c r="D55" i="99"/>
  <c r="C55" i="99"/>
  <c r="B55" i="99"/>
  <c r="D54" i="99"/>
  <c r="C54" i="99"/>
  <c r="B54" i="99"/>
  <c r="D53" i="99"/>
  <c r="C53" i="99"/>
  <c r="B53" i="99"/>
  <c r="D52" i="99"/>
  <c r="C52" i="99"/>
  <c r="B52" i="99"/>
  <c r="D51" i="99"/>
  <c r="C51" i="99"/>
  <c r="B51" i="99"/>
  <c r="D50" i="99"/>
  <c r="C50" i="99"/>
  <c r="B50" i="99"/>
  <c r="D49" i="99"/>
  <c r="C49" i="99"/>
  <c r="B49" i="99"/>
  <c r="D48" i="99"/>
  <c r="C48" i="99"/>
  <c r="B48" i="99"/>
  <c r="D47" i="99"/>
  <c r="C47" i="99"/>
  <c r="B47" i="99"/>
  <c r="D46" i="99"/>
  <c r="B46" i="99"/>
  <c r="D45" i="99"/>
  <c r="B45" i="99"/>
  <c r="D44" i="99"/>
  <c r="C44" i="99"/>
  <c r="B44" i="99"/>
  <c r="D43" i="99"/>
  <c r="C43" i="99"/>
  <c r="B43" i="99"/>
  <c r="D42" i="99"/>
  <c r="C42" i="99"/>
  <c r="B42" i="99"/>
  <c r="D41" i="99"/>
  <c r="C41" i="99"/>
  <c r="B41" i="99"/>
  <c r="D40" i="99"/>
  <c r="C40" i="99"/>
  <c r="B40" i="99"/>
  <c r="D39" i="99"/>
  <c r="C39" i="99"/>
  <c r="B39" i="99"/>
  <c r="D38" i="99"/>
  <c r="C38" i="99"/>
  <c r="B38" i="99"/>
  <c r="F37" i="99"/>
  <c r="D37" i="99"/>
  <c r="C37" i="99"/>
  <c r="B37" i="99"/>
  <c r="D36" i="99"/>
  <c r="C36" i="99"/>
  <c r="B36" i="99"/>
  <c r="D35" i="99"/>
  <c r="C35" i="99"/>
  <c r="B35" i="99"/>
  <c r="D34" i="99"/>
  <c r="C34" i="99"/>
  <c r="B34" i="99"/>
  <c r="D33" i="99"/>
  <c r="C33" i="99"/>
  <c r="B33" i="99"/>
  <c r="D32" i="99"/>
  <c r="C32" i="99"/>
  <c r="B32" i="99"/>
  <c r="D31" i="99"/>
  <c r="C31" i="99"/>
  <c r="B31" i="99"/>
  <c r="D30" i="99"/>
  <c r="C30" i="99"/>
  <c r="B30" i="99"/>
  <c r="D29" i="99"/>
  <c r="C29" i="99"/>
  <c r="B29" i="99"/>
  <c r="D28" i="99"/>
  <c r="C28" i="99"/>
  <c r="B28" i="99"/>
  <c r="F27" i="99"/>
  <c r="D27" i="99"/>
  <c r="C27" i="99"/>
  <c r="B27" i="99"/>
  <c r="D26" i="99"/>
  <c r="C26" i="99"/>
  <c r="B26" i="99"/>
  <c r="D25" i="99"/>
  <c r="C25" i="99"/>
  <c r="B25" i="99"/>
  <c r="D24" i="99"/>
  <c r="C24" i="99"/>
  <c r="B24" i="99"/>
  <c r="D23" i="99"/>
  <c r="C23" i="99"/>
  <c r="B23" i="99"/>
  <c r="D22" i="99"/>
  <c r="C22" i="99"/>
  <c r="B22" i="99"/>
  <c r="F21" i="99"/>
  <c r="D21" i="99"/>
  <c r="C21" i="99"/>
  <c r="B21" i="99"/>
  <c r="D20" i="99"/>
  <c r="C20" i="99"/>
  <c r="B20" i="99"/>
  <c r="D19" i="99"/>
  <c r="C19" i="99"/>
  <c r="B19" i="99"/>
  <c r="D18" i="99"/>
  <c r="C18" i="99"/>
  <c r="B18" i="99"/>
  <c r="D17" i="99"/>
  <c r="C17" i="99"/>
  <c r="B17" i="99"/>
  <c r="D16" i="99"/>
  <c r="C16" i="99"/>
  <c r="B16" i="99"/>
  <c r="D15" i="99"/>
  <c r="C15" i="99"/>
  <c r="B15" i="99"/>
  <c r="D14" i="99"/>
  <c r="C14" i="99"/>
  <c r="B14" i="99"/>
  <c r="D13" i="99"/>
  <c r="C13" i="99"/>
  <c r="B13" i="99"/>
  <c r="D12" i="99"/>
  <c r="C12" i="99"/>
  <c r="B12" i="99"/>
  <c r="D11" i="99"/>
  <c r="C11" i="99"/>
  <c r="B11" i="99"/>
  <c r="D10" i="99"/>
  <c r="C10" i="99"/>
  <c r="B10" i="99"/>
  <c r="D9" i="99"/>
  <c r="C9" i="99"/>
  <c r="B9" i="99"/>
  <c r="D8" i="99"/>
  <c r="C8" i="99"/>
  <c r="B8" i="99"/>
  <c r="BX78" i="97"/>
  <c r="BV78" i="97"/>
  <c r="BA78" i="97"/>
  <c r="AW78" i="97"/>
  <c r="AR78" i="97"/>
  <c r="AO78" i="97"/>
  <c r="S78" i="97"/>
  <c r="D78" i="97"/>
  <c r="C78" i="97"/>
  <c r="B78" i="97"/>
  <c r="A78" i="97"/>
  <c r="BX77" i="97"/>
  <c r="BV77" i="97"/>
  <c r="BA77" i="97"/>
  <c r="AW77" i="97"/>
  <c r="AR77" i="97"/>
  <c r="AO77" i="97"/>
  <c r="S77" i="97"/>
  <c r="D77" i="97"/>
  <c r="C77" i="97"/>
  <c r="B77" i="97"/>
  <c r="A77" i="97"/>
  <c r="BX76" i="97"/>
  <c r="BV76" i="97"/>
  <c r="BA76" i="97"/>
  <c r="AW76" i="97"/>
  <c r="AR76" i="97"/>
  <c r="AO76" i="97"/>
  <c r="S76" i="97"/>
  <c r="D76" i="97"/>
  <c r="C76" i="97"/>
  <c r="B76" i="97"/>
  <c r="A76" i="97"/>
  <c r="BX75" i="97"/>
  <c r="BV75" i="97"/>
  <c r="G75" i="1"/>
  <c r="BA75" i="97"/>
  <c r="AW75" i="97"/>
  <c r="AR75" i="97"/>
  <c r="AO75" i="97"/>
  <c r="S75" i="97"/>
  <c r="D75" i="97"/>
  <c r="C75" i="97"/>
  <c r="B75" i="97"/>
  <c r="A75" i="97"/>
  <c r="BX74" i="97"/>
  <c r="BV74" i="97"/>
  <c r="G74" i="1"/>
  <c r="BA74" i="97"/>
  <c r="AW74" i="97"/>
  <c r="AR74" i="97"/>
  <c r="AO74" i="97"/>
  <c r="S74" i="97"/>
  <c r="D74" i="97"/>
  <c r="C74" i="97"/>
  <c r="B74" i="97"/>
  <c r="A74" i="97"/>
  <c r="BX73" i="97"/>
  <c r="BV73" i="97"/>
  <c r="G73" i="1"/>
  <c r="BA73" i="97"/>
  <c r="AW73" i="97"/>
  <c r="AR73" i="97"/>
  <c r="AO73" i="97"/>
  <c r="S73" i="97"/>
  <c r="D73" i="97"/>
  <c r="C73" i="97"/>
  <c r="B73" i="97"/>
  <c r="A73" i="97"/>
  <c r="BX72" i="97"/>
  <c r="BV72" i="97"/>
  <c r="G72" i="1"/>
  <c r="BA72" i="97"/>
  <c r="AW72" i="97"/>
  <c r="AR72" i="97"/>
  <c r="AO72" i="97"/>
  <c r="S72" i="97"/>
  <c r="D72" i="97"/>
  <c r="C72" i="97"/>
  <c r="B72" i="97"/>
  <c r="A72" i="97"/>
  <c r="BX71" i="97"/>
  <c r="BV71" i="97"/>
  <c r="G71" i="1"/>
  <c r="BA71" i="97"/>
  <c r="AW71" i="97"/>
  <c r="AR71" i="97"/>
  <c r="AO71" i="97"/>
  <c r="S71" i="97"/>
  <c r="D71" i="97"/>
  <c r="C71" i="97"/>
  <c r="B71" i="97"/>
  <c r="A71" i="97"/>
  <c r="BX70" i="97"/>
  <c r="BV70" i="97"/>
  <c r="G70" i="1"/>
  <c r="BA70" i="97"/>
  <c r="AW70" i="97"/>
  <c r="AR70" i="97"/>
  <c r="AO70" i="97"/>
  <c r="S70" i="97"/>
  <c r="D70" i="97"/>
  <c r="C70" i="97"/>
  <c r="B70" i="97"/>
  <c r="A70" i="97"/>
  <c r="CH69" i="97"/>
  <c r="BX69" i="97"/>
  <c r="BV69" i="97"/>
  <c r="G69" i="1"/>
  <c r="BA69" i="97"/>
  <c r="AW69" i="97"/>
  <c r="AR69" i="97"/>
  <c r="AS69" i="97" s="1"/>
  <c r="AO69" i="97"/>
  <c r="AP69" i="97" s="1"/>
  <c r="S69" i="97"/>
  <c r="D69" i="97"/>
  <c r="C69" i="97"/>
  <c r="B69" i="97"/>
  <c r="A69" i="97"/>
  <c r="CH68" i="97"/>
  <c r="BX68" i="97"/>
  <c r="BV68" i="97"/>
  <c r="G68" i="1"/>
  <c r="BA68" i="97"/>
  <c r="AW68" i="97"/>
  <c r="AR68" i="97"/>
  <c r="AS68" i="97" s="1"/>
  <c r="AO68" i="97"/>
  <c r="AP68" i="97" s="1"/>
  <c r="S68" i="97"/>
  <c r="D68" i="97"/>
  <c r="C68" i="97"/>
  <c r="B68" i="97"/>
  <c r="A68" i="97"/>
  <c r="CH67" i="97"/>
  <c r="BX67" i="97"/>
  <c r="BV67" i="97"/>
  <c r="G67" i="1"/>
  <c r="BA67" i="97"/>
  <c r="AW67" i="97"/>
  <c r="AR67" i="97"/>
  <c r="AS67" i="97" s="1"/>
  <c r="AO67" i="97"/>
  <c r="AP67" i="97" s="1"/>
  <c r="S67" i="97"/>
  <c r="D67" i="97"/>
  <c r="C67" i="97"/>
  <c r="B67" i="97"/>
  <c r="A67" i="97"/>
  <c r="CH66" i="97"/>
  <c r="BX66" i="97"/>
  <c r="BV66" i="97"/>
  <c r="G66" i="1"/>
  <c r="BA66" i="97"/>
  <c r="AW66" i="97"/>
  <c r="AR66" i="97"/>
  <c r="AS66" i="97" s="1"/>
  <c r="AO66" i="97"/>
  <c r="AP66" i="97" s="1"/>
  <c r="S66" i="97"/>
  <c r="D66" i="97"/>
  <c r="C66" i="97"/>
  <c r="B66" i="97"/>
  <c r="A66" i="97"/>
  <c r="CH65" i="97"/>
  <c r="BX65" i="97"/>
  <c r="BV65" i="97"/>
  <c r="G65" i="1"/>
  <c r="BA65" i="97"/>
  <c r="AW65" i="97"/>
  <c r="AR65" i="97"/>
  <c r="AS65" i="97" s="1"/>
  <c r="AO65" i="97"/>
  <c r="AP65" i="97" s="1"/>
  <c r="S65" i="97"/>
  <c r="D65" i="97"/>
  <c r="C65" i="97"/>
  <c r="B65" i="97"/>
  <c r="A65" i="97"/>
  <c r="CH64" i="97"/>
  <c r="BX64" i="97"/>
  <c r="BV64" i="97"/>
  <c r="G64" i="1"/>
  <c r="BA64" i="97"/>
  <c r="AW64" i="97"/>
  <c r="AR64" i="97"/>
  <c r="AS64" i="97" s="1"/>
  <c r="AO64" i="97"/>
  <c r="AP64" i="97" s="1"/>
  <c r="S64" i="97"/>
  <c r="D64" i="97"/>
  <c r="C64" i="97"/>
  <c r="B64" i="97"/>
  <c r="A64" i="97"/>
  <c r="CH63" i="97"/>
  <c r="BX63" i="97"/>
  <c r="BV63" i="97"/>
  <c r="G63" i="1"/>
  <c r="BA63" i="97"/>
  <c r="AW63" i="97"/>
  <c r="AR63" i="97"/>
  <c r="AS63" i="97" s="1"/>
  <c r="AO63" i="97"/>
  <c r="AP63" i="97" s="1"/>
  <c r="S63" i="97"/>
  <c r="D63" i="97"/>
  <c r="C63" i="97"/>
  <c r="B63" i="97"/>
  <c r="A63" i="97"/>
  <c r="CH62" i="97"/>
  <c r="BX62" i="97"/>
  <c r="BV62" i="97"/>
  <c r="G62" i="1"/>
  <c r="BA62" i="97"/>
  <c r="AW62" i="97"/>
  <c r="AR62" i="97"/>
  <c r="AS62" i="97" s="1"/>
  <c r="AO62" i="97"/>
  <c r="AP62" i="97" s="1"/>
  <c r="S62" i="97"/>
  <c r="D62" i="97"/>
  <c r="C62" i="97"/>
  <c r="B62" i="97"/>
  <c r="A62" i="97"/>
  <c r="CH61" i="97"/>
  <c r="BX61" i="97"/>
  <c r="BV61" i="97"/>
  <c r="G61" i="1"/>
  <c r="F61" i="1"/>
  <c r="BA61" i="97"/>
  <c r="AW61" i="97"/>
  <c r="AS61" i="97"/>
  <c r="AO61" i="97"/>
  <c r="AP61" i="97" s="1"/>
  <c r="S61" i="97"/>
  <c r="D61" i="97"/>
  <c r="C61" i="97"/>
  <c r="B61" i="97"/>
  <c r="A61" i="97"/>
  <c r="CH60" i="97"/>
  <c r="BX60" i="97"/>
  <c r="BV60" i="97"/>
  <c r="G60" i="1"/>
  <c r="F60" i="1"/>
  <c r="BA60" i="97"/>
  <c r="AW60" i="97"/>
  <c r="AR60" i="97"/>
  <c r="AS60" i="97" s="1"/>
  <c r="AO60" i="97"/>
  <c r="AP60" i="97" s="1"/>
  <c r="D60" i="97"/>
  <c r="C60" i="97"/>
  <c r="B60" i="97"/>
  <c r="A60" i="97"/>
  <c r="BX59" i="97"/>
  <c r="BV59" i="97"/>
  <c r="G59" i="1"/>
  <c r="BA59" i="97"/>
  <c r="AW59" i="97"/>
  <c r="AR59" i="97"/>
  <c r="AO59" i="97"/>
  <c r="AL59" i="97"/>
  <c r="AM59" i="97" s="1"/>
  <c r="AF59" i="97"/>
  <c r="AG59" i="97" s="1"/>
  <c r="D59" i="97"/>
  <c r="C59" i="97"/>
  <c r="B59" i="97"/>
  <c r="A59" i="97"/>
  <c r="BX58" i="97"/>
  <c r="BV58" i="97"/>
  <c r="G58" i="1"/>
  <c r="BA58" i="97"/>
  <c r="AW58" i="97"/>
  <c r="AR58" i="97"/>
  <c r="AO58" i="97"/>
  <c r="AL58" i="97"/>
  <c r="AM58" i="97" s="1"/>
  <c r="AF58" i="97"/>
  <c r="AG58" i="97" s="1"/>
  <c r="D58" i="97"/>
  <c r="C58" i="97"/>
  <c r="B58" i="97"/>
  <c r="A58" i="97"/>
  <c r="BX57" i="97"/>
  <c r="BV57" i="97"/>
  <c r="G57" i="1"/>
  <c r="BA57" i="97"/>
  <c r="AW57" i="97"/>
  <c r="AR57" i="97"/>
  <c r="AO57" i="97"/>
  <c r="D57" i="97"/>
  <c r="C57" i="97"/>
  <c r="B57" i="97"/>
  <c r="A57" i="97"/>
  <c r="BX56" i="97"/>
  <c r="BV56" i="97"/>
  <c r="G56" i="1"/>
  <c r="BA56" i="97"/>
  <c r="AW56" i="97"/>
  <c r="AR56" i="97"/>
  <c r="AO56" i="97"/>
  <c r="AL56" i="97"/>
  <c r="AM56" i="97" s="1"/>
  <c r="AI56" i="97"/>
  <c r="AJ56" i="97" s="1"/>
  <c r="S56" i="97"/>
  <c r="I56" i="97"/>
  <c r="D56" i="97"/>
  <c r="C56" i="97"/>
  <c r="B56" i="97"/>
  <c r="A56" i="97"/>
  <c r="BX55" i="97"/>
  <c r="BV55" i="97"/>
  <c r="G55" i="1"/>
  <c r="BA55" i="97"/>
  <c r="AW55" i="97"/>
  <c r="AR55" i="97"/>
  <c r="AO55" i="97"/>
  <c r="AL55" i="97"/>
  <c r="AM55" i="97" s="1"/>
  <c r="AF55" i="97"/>
  <c r="AG55" i="97" s="1"/>
  <c r="S55" i="97"/>
  <c r="I55" i="97"/>
  <c r="D55" i="97"/>
  <c r="C55" i="97"/>
  <c r="B55" i="97"/>
  <c r="A55" i="97"/>
  <c r="BX54" i="97"/>
  <c r="BV54" i="97"/>
  <c r="G54" i="1"/>
  <c r="BA54" i="97"/>
  <c r="AW54" i="97"/>
  <c r="AR54" i="97"/>
  <c r="AO54" i="97"/>
  <c r="S54" i="97"/>
  <c r="D54" i="97"/>
  <c r="C54" i="97"/>
  <c r="B54" i="97"/>
  <c r="A54" i="97"/>
  <c r="BX53" i="97"/>
  <c r="BV53" i="97"/>
  <c r="G53" i="1"/>
  <c r="BA53" i="97"/>
  <c r="AW53" i="97"/>
  <c r="AR53" i="97"/>
  <c r="AO53" i="97"/>
  <c r="AL53" i="97"/>
  <c r="AM53" i="97" s="1"/>
  <c r="AF53" i="97"/>
  <c r="AG53" i="97" s="1"/>
  <c r="S53" i="97"/>
  <c r="D53" i="97"/>
  <c r="C53" i="97"/>
  <c r="B53" i="97"/>
  <c r="A53" i="97"/>
  <c r="BX52" i="97"/>
  <c r="BV52" i="97"/>
  <c r="G52" i="1"/>
  <c r="BA52" i="97"/>
  <c r="AW52" i="97"/>
  <c r="AR52" i="97"/>
  <c r="AO52" i="97"/>
  <c r="AL52" i="97"/>
  <c r="AM52" i="97" s="1"/>
  <c r="AF52" i="97"/>
  <c r="AG52" i="97" s="1"/>
  <c r="S52" i="97"/>
  <c r="I52" i="97"/>
  <c r="D52" i="97"/>
  <c r="C52" i="97"/>
  <c r="B52" i="97"/>
  <c r="A52" i="97"/>
  <c r="BX51" i="97"/>
  <c r="BV51" i="97"/>
  <c r="G51" i="1"/>
  <c r="BA51" i="97"/>
  <c r="AW51" i="97"/>
  <c r="AR51" i="97"/>
  <c r="AO51" i="97"/>
  <c r="S51" i="97"/>
  <c r="I51" i="97"/>
  <c r="D51" i="97"/>
  <c r="C51" i="97"/>
  <c r="B51" i="97"/>
  <c r="A51" i="97"/>
  <c r="BX50" i="97"/>
  <c r="BV50" i="97"/>
  <c r="G50" i="1"/>
  <c r="BA50" i="97"/>
  <c r="AW50" i="97"/>
  <c r="AR50" i="97"/>
  <c r="AO50" i="97"/>
  <c r="AL50" i="97"/>
  <c r="AM50" i="97" s="1"/>
  <c r="AF50" i="97"/>
  <c r="AG50" i="97" s="1"/>
  <c r="S50" i="97"/>
  <c r="I50" i="97"/>
  <c r="D50" i="97"/>
  <c r="C50" i="97"/>
  <c r="B50" i="97"/>
  <c r="A50" i="97"/>
  <c r="BX49" i="97"/>
  <c r="BV49" i="97"/>
  <c r="BA49" i="97"/>
  <c r="AW49" i="97"/>
  <c r="AR49" i="97"/>
  <c r="AO49" i="97"/>
  <c r="S49" i="97"/>
  <c r="I49" i="97"/>
  <c r="D49" i="97"/>
  <c r="C49" i="97"/>
  <c r="B49" i="97"/>
  <c r="A49" i="97"/>
  <c r="BX48" i="97"/>
  <c r="BV48" i="97"/>
  <c r="G48" i="1"/>
  <c r="BA48" i="97"/>
  <c r="AW48" i="97"/>
  <c r="AR48" i="97"/>
  <c r="AO48" i="97"/>
  <c r="S48" i="97"/>
  <c r="I48" i="97"/>
  <c r="D48" i="97"/>
  <c r="C48" i="97"/>
  <c r="B48" i="97"/>
  <c r="A48" i="97"/>
  <c r="BX47" i="97"/>
  <c r="BV47" i="97"/>
  <c r="G47" i="1"/>
  <c r="BA47" i="97"/>
  <c r="AW47" i="97"/>
  <c r="AR47" i="97"/>
  <c r="AO47" i="97"/>
  <c r="S47" i="97"/>
  <c r="I47" i="97"/>
  <c r="D47" i="97"/>
  <c r="C47" i="97"/>
  <c r="B47" i="97"/>
  <c r="A47" i="97"/>
  <c r="BX46" i="97"/>
  <c r="BV46" i="97"/>
  <c r="G46" i="1"/>
  <c r="BA46" i="97"/>
  <c r="AW46" i="97"/>
  <c r="AR46" i="97"/>
  <c r="AO46" i="97"/>
  <c r="S46" i="97"/>
  <c r="I46" i="97"/>
  <c r="D46" i="97"/>
  <c r="C46" i="97"/>
  <c r="B46" i="97"/>
  <c r="A46" i="97"/>
  <c r="BX45" i="97"/>
  <c r="BV45" i="97"/>
  <c r="G45" i="1"/>
  <c r="BA45" i="97"/>
  <c r="AW45" i="97"/>
  <c r="AR45" i="97"/>
  <c r="AO45" i="97"/>
  <c r="AL45" i="97"/>
  <c r="AM45" i="97" s="1"/>
  <c r="AI45" i="97"/>
  <c r="AJ45" i="97" s="1"/>
  <c r="AF45" i="97"/>
  <c r="AG45" i="97" s="1"/>
  <c r="S45" i="97"/>
  <c r="I45" i="97"/>
  <c r="D45" i="97"/>
  <c r="C45" i="97"/>
  <c r="B45" i="97"/>
  <c r="A45" i="97"/>
  <c r="BX44" i="97"/>
  <c r="BV44" i="97"/>
  <c r="G44" i="1"/>
  <c r="BA44" i="97"/>
  <c r="AW44" i="97"/>
  <c r="AR44" i="97"/>
  <c r="AO44" i="97"/>
  <c r="AL44" i="97"/>
  <c r="AM44" i="97" s="1"/>
  <c r="AF44" i="97"/>
  <c r="AG44" i="97" s="1"/>
  <c r="S44" i="97"/>
  <c r="I44" i="97"/>
  <c r="D44" i="97"/>
  <c r="C44" i="97"/>
  <c r="B44" i="97"/>
  <c r="A44" i="97"/>
  <c r="BX43" i="97"/>
  <c r="BV43" i="97"/>
  <c r="G43" i="1"/>
  <c r="BA43" i="97"/>
  <c r="AW43" i="97"/>
  <c r="AR43" i="97"/>
  <c r="AO43" i="97"/>
  <c r="AF43" i="97"/>
  <c r="AG43" i="97" s="1"/>
  <c r="S43" i="97"/>
  <c r="D43" i="97"/>
  <c r="C43" i="97"/>
  <c r="B43" i="97"/>
  <c r="A43" i="97"/>
  <c r="BX42" i="97"/>
  <c r="G42" i="1"/>
  <c r="BA42" i="97"/>
  <c r="AW42" i="97"/>
  <c r="AR42" i="97"/>
  <c r="AO42" i="97"/>
  <c r="S42" i="97"/>
  <c r="D42" i="97"/>
  <c r="C42" i="97"/>
  <c r="B42" i="97"/>
  <c r="A42" i="97"/>
  <c r="BX41" i="97"/>
  <c r="BV41" i="97"/>
  <c r="G41" i="1"/>
  <c r="BA41" i="97"/>
  <c r="AW41" i="97"/>
  <c r="AR41" i="97"/>
  <c r="AO41" i="97"/>
  <c r="S41" i="97"/>
  <c r="D41" i="97"/>
  <c r="C41" i="97"/>
  <c r="B41" i="97"/>
  <c r="A41" i="97"/>
  <c r="BX40" i="97"/>
  <c r="BV40" i="97"/>
  <c r="G40" i="1"/>
  <c r="BA40" i="97"/>
  <c r="AW40" i="97"/>
  <c r="AR40" i="97"/>
  <c r="AO40" i="97"/>
  <c r="S40" i="97"/>
  <c r="I40" i="97"/>
  <c r="D40" i="97"/>
  <c r="C40" i="97"/>
  <c r="B40" i="97"/>
  <c r="A40" i="97"/>
  <c r="BX39" i="97"/>
  <c r="BV39" i="97"/>
  <c r="G39" i="1"/>
  <c r="BA39" i="97"/>
  <c r="AW39" i="97"/>
  <c r="AR39" i="97"/>
  <c r="AO39" i="97"/>
  <c r="S39" i="97"/>
  <c r="D39" i="97"/>
  <c r="C39" i="97"/>
  <c r="B39" i="97"/>
  <c r="A39" i="97"/>
  <c r="BX38" i="97"/>
  <c r="BV38" i="97"/>
  <c r="G38" i="1"/>
  <c r="BA38" i="97"/>
  <c r="AW38" i="97"/>
  <c r="AR38" i="97"/>
  <c r="AO38" i="97"/>
  <c r="AL38" i="97"/>
  <c r="AM38" i="97" s="1"/>
  <c r="AF38" i="97"/>
  <c r="AG38" i="97" s="1"/>
  <c r="S38" i="97"/>
  <c r="D38" i="97"/>
  <c r="C38" i="97"/>
  <c r="B38" i="97"/>
  <c r="A38" i="97"/>
  <c r="BX37" i="97"/>
  <c r="BV37" i="97"/>
  <c r="F37" i="1"/>
  <c r="BA37" i="97"/>
  <c r="AW37" i="97"/>
  <c r="AR37" i="97"/>
  <c r="AS37" i="97" s="1"/>
  <c r="AO37" i="97"/>
  <c r="AP37" i="97" s="1"/>
  <c r="S37" i="97"/>
  <c r="D37" i="97"/>
  <c r="C37" i="97"/>
  <c r="B37" i="97"/>
  <c r="A37" i="97"/>
  <c r="BX36" i="97"/>
  <c r="BV36" i="97"/>
  <c r="G36" i="1"/>
  <c r="BA36" i="97"/>
  <c r="AW36" i="97"/>
  <c r="AR36" i="97"/>
  <c r="AO36" i="97"/>
  <c r="AL36" i="97"/>
  <c r="AM36" i="97" s="1"/>
  <c r="AF36" i="97"/>
  <c r="AG36" i="97" s="1"/>
  <c r="S36" i="97"/>
  <c r="D36" i="97"/>
  <c r="C36" i="97"/>
  <c r="B36" i="97"/>
  <c r="A36" i="97"/>
  <c r="BX35" i="97"/>
  <c r="BV35" i="97"/>
  <c r="G35" i="1"/>
  <c r="BA35" i="97"/>
  <c r="AW35" i="97"/>
  <c r="AR35" i="97"/>
  <c r="AO35" i="97"/>
  <c r="S35" i="97"/>
  <c r="I35" i="97"/>
  <c r="D35" i="97"/>
  <c r="C35" i="97"/>
  <c r="B35" i="97"/>
  <c r="A35" i="97"/>
  <c r="BX34" i="97"/>
  <c r="G34" i="1"/>
  <c r="BA34" i="97"/>
  <c r="AW34" i="97"/>
  <c r="AR34" i="97"/>
  <c r="AO34" i="97"/>
  <c r="S34" i="97"/>
  <c r="D34" i="97"/>
  <c r="C34" i="97"/>
  <c r="B34" i="97"/>
  <c r="A34" i="97"/>
  <c r="BX33" i="97"/>
  <c r="BV33" i="97"/>
  <c r="G33" i="1"/>
  <c r="BA33" i="97"/>
  <c r="AW33" i="97"/>
  <c r="AR33" i="97"/>
  <c r="AO33" i="97"/>
  <c r="AL33" i="97"/>
  <c r="AM33" i="97" s="1"/>
  <c r="AI33" i="97"/>
  <c r="AJ33" i="97" s="1"/>
  <c r="S33" i="97"/>
  <c r="I33" i="97"/>
  <c r="D33" i="97"/>
  <c r="C33" i="97"/>
  <c r="B33" i="97"/>
  <c r="A33" i="97"/>
  <c r="BX32" i="97"/>
  <c r="BV32" i="97"/>
  <c r="G32" i="1"/>
  <c r="BA32" i="97"/>
  <c r="AW32" i="97"/>
  <c r="AR32" i="97"/>
  <c r="AO32" i="97"/>
  <c r="S32" i="97"/>
  <c r="D32" i="97"/>
  <c r="C32" i="97"/>
  <c r="B32" i="97"/>
  <c r="A32" i="97"/>
  <c r="BX31" i="97"/>
  <c r="BV31" i="97"/>
  <c r="G31" i="1"/>
  <c r="BA31" i="97"/>
  <c r="AW31" i="97"/>
  <c r="AR31" i="97"/>
  <c r="AO31" i="97"/>
  <c r="AL31" i="97"/>
  <c r="AM31" i="97" s="1"/>
  <c r="AF31" i="97"/>
  <c r="AG31" i="97" s="1"/>
  <c r="S31" i="97"/>
  <c r="D31" i="97"/>
  <c r="C31" i="97"/>
  <c r="B31" i="97"/>
  <c r="A31" i="97"/>
  <c r="BX30" i="97"/>
  <c r="BV30" i="97"/>
  <c r="G30" i="1"/>
  <c r="BA30" i="97"/>
  <c r="AW30" i="97"/>
  <c r="AR30" i="97"/>
  <c r="AO30" i="97"/>
  <c r="AL30" i="97"/>
  <c r="AM30" i="97" s="1"/>
  <c r="AF30" i="97"/>
  <c r="AG30" i="97" s="1"/>
  <c r="S30" i="97"/>
  <c r="D30" i="97"/>
  <c r="C30" i="97"/>
  <c r="B30" i="97"/>
  <c r="A30" i="97"/>
  <c r="BX29" i="97"/>
  <c r="BV29" i="97"/>
  <c r="G29" i="1"/>
  <c r="BA29" i="97"/>
  <c r="AW29" i="97"/>
  <c r="AR29" i="97"/>
  <c r="AO29" i="97"/>
  <c r="S29" i="97"/>
  <c r="I29" i="97"/>
  <c r="D29" i="97"/>
  <c r="C29" i="97"/>
  <c r="B29" i="97"/>
  <c r="A29" i="97"/>
  <c r="BX28" i="97"/>
  <c r="BV28" i="97"/>
  <c r="G28" i="1"/>
  <c r="BA28" i="97"/>
  <c r="AW28" i="97"/>
  <c r="AR28" i="97"/>
  <c r="AO28" i="97"/>
  <c r="S28" i="97"/>
  <c r="I28" i="97"/>
  <c r="D28" i="97"/>
  <c r="C28" i="97"/>
  <c r="B28" i="97"/>
  <c r="A28" i="97"/>
  <c r="BX27" i="97"/>
  <c r="BV27" i="97"/>
  <c r="BA27" i="97"/>
  <c r="AW27" i="97"/>
  <c r="AR27" i="97"/>
  <c r="AS27" i="97" s="1"/>
  <c r="AO27" i="97"/>
  <c r="AP27" i="97" s="1"/>
  <c r="S27" i="97"/>
  <c r="D27" i="97"/>
  <c r="C27" i="97"/>
  <c r="B27" i="97"/>
  <c r="A27" i="97"/>
  <c r="BX26" i="97"/>
  <c r="BV26" i="97"/>
  <c r="G26" i="1"/>
  <c r="BA26" i="97"/>
  <c r="AW26" i="97"/>
  <c r="AR26" i="97"/>
  <c r="AO26" i="97"/>
  <c r="AL26" i="97"/>
  <c r="AM26" i="97" s="1"/>
  <c r="AF26" i="97"/>
  <c r="AG26" i="97" s="1"/>
  <c r="S26" i="97"/>
  <c r="D26" i="97"/>
  <c r="C26" i="97"/>
  <c r="B26" i="97"/>
  <c r="A26" i="97"/>
  <c r="BX25" i="97"/>
  <c r="BV25" i="97"/>
  <c r="G25" i="1"/>
  <c r="BA25" i="97"/>
  <c r="AW25" i="97"/>
  <c r="AR25" i="97"/>
  <c r="AO25" i="97"/>
  <c r="S25" i="97"/>
  <c r="D25" i="97"/>
  <c r="C25" i="97"/>
  <c r="B25" i="97"/>
  <c r="A25" i="97"/>
  <c r="BX24" i="97"/>
  <c r="BV24" i="97"/>
  <c r="G24" i="1"/>
  <c r="BA24" i="97"/>
  <c r="AW24" i="97"/>
  <c r="AR24" i="97"/>
  <c r="AO24" i="97"/>
  <c r="S24" i="97"/>
  <c r="D24" i="97"/>
  <c r="C24" i="97"/>
  <c r="B24" i="97"/>
  <c r="A24" i="97"/>
  <c r="BX23" i="97"/>
  <c r="BV23" i="97"/>
  <c r="G23" i="1"/>
  <c r="BA23" i="97"/>
  <c r="AW23" i="97"/>
  <c r="AR23" i="97"/>
  <c r="AO23" i="97"/>
  <c r="S23" i="97"/>
  <c r="D23" i="97"/>
  <c r="C23" i="97"/>
  <c r="B23" i="97"/>
  <c r="A23" i="97"/>
  <c r="BX22" i="97"/>
  <c r="BV22" i="97"/>
  <c r="G22" i="1"/>
  <c r="BA22" i="97"/>
  <c r="AW22" i="97"/>
  <c r="AR22" i="97"/>
  <c r="AO22" i="97"/>
  <c r="AL22" i="97"/>
  <c r="AM22" i="97" s="1"/>
  <c r="AF22" i="97"/>
  <c r="AG22" i="97" s="1"/>
  <c r="S22" i="97"/>
  <c r="D22" i="97"/>
  <c r="C22" i="97"/>
  <c r="B22" i="97"/>
  <c r="A22" i="97"/>
  <c r="CH21" i="97"/>
  <c r="BX21" i="97"/>
  <c r="BV21" i="97"/>
  <c r="F21" i="1"/>
  <c r="BA21" i="97"/>
  <c r="AW21" i="97"/>
  <c r="AR21" i="97"/>
  <c r="AS21" i="97" s="1"/>
  <c r="AO21" i="97"/>
  <c r="AP21" i="97" s="1"/>
  <c r="S21" i="97"/>
  <c r="D21" i="97"/>
  <c r="C21" i="97"/>
  <c r="B21" i="97"/>
  <c r="A21" i="97"/>
  <c r="BX20" i="97"/>
  <c r="BV20" i="97"/>
  <c r="G20" i="1"/>
  <c r="BA20" i="97"/>
  <c r="AW20" i="97"/>
  <c r="AR20" i="97"/>
  <c r="AS20" i="97" s="1"/>
  <c r="AO20" i="97"/>
  <c r="AP20" i="97" s="1"/>
  <c r="S20" i="97"/>
  <c r="D20" i="97"/>
  <c r="C20" i="97"/>
  <c r="B20" i="97"/>
  <c r="A20" i="97"/>
  <c r="BX19" i="97"/>
  <c r="BV19" i="97"/>
  <c r="G19" i="1"/>
  <c r="BA19" i="97"/>
  <c r="AW19" i="97"/>
  <c r="AR19" i="97"/>
  <c r="AO19" i="97"/>
  <c r="S19" i="97"/>
  <c r="D19" i="97"/>
  <c r="C19" i="97"/>
  <c r="B19" i="97"/>
  <c r="A19" i="97"/>
  <c r="BX18" i="97"/>
  <c r="BV18" i="97"/>
  <c r="G18" i="1"/>
  <c r="BA18" i="97"/>
  <c r="AW18" i="97"/>
  <c r="AR18" i="97"/>
  <c r="AO18" i="97"/>
  <c r="S18" i="97"/>
  <c r="D18" i="97"/>
  <c r="C18" i="97"/>
  <c r="B18" i="97"/>
  <c r="A18" i="97"/>
  <c r="BX17" i="97"/>
  <c r="BV17" i="97"/>
  <c r="G17" i="1"/>
  <c r="BA17" i="97"/>
  <c r="AW17" i="97"/>
  <c r="AR17" i="97"/>
  <c r="AO17" i="97"/>
  <c r="S17" i="97"/>
  <c r="D17" i="97"/>
  <c r="C17" i="97"/>
  <c r="B17" i="97"/>
  <c r="A17" i="97"/>
  <c r="BX16" i="97"/>
  <c r="BV16" i="97"/>
  <c r="G16" i="1"/>
  <c r="BA16" i="97"/>
  <c r="AW16" i="97"/>
  <c r="AR16" i="97"/>
  <c r="AO16" i="97"/>
  <c r="S16" i="97"/>
  <c r="D16" i="97"/>
  <c r="C16" i="97"/>
  <c r="B16" i="97"/>
  <c r="A16" i="97"/>
  <c r="BX15" i="97"/>
  <c r="BV15" i="97"/>
  <c r="G15" i="1"/>
  <c r="BA15" i="97"/>
  <c r="AW15" i="97"/>
  <c r="AR15" i="97"/>
  <c r="AO15" i="97"/>
  <c r="S15" i="97"/>
  <c r="D15" i="97"/>
  <c r="C15" i="97"/>
  <c r="B15" i="97"/>
  <c r="A15" i="97"/>
  <c r="BX14" i="97"/>
  <c r="BV14" i="97"/>
  <c r="G14" i="1"/>
  <c r="BA14" i="97"/>
  <c r="AW14" i="97"/>
  <c r="AR14" i="97"/>
  <c r="AO14" i="97"/>
  <c r="S14" i="97"/>
  <c r="D14" i="97"/>
  <c r="C14" i="97"/>
  <c r="B14" i="97"/>
  <c r="A14" i="97"/>
  <c r="BX13" i="97"/>
  <c r="BV13" i="97"/>
  <c r="G13" i="1"/>
  <c r="BA13" i="97"/>
  <c r="AW13" i="97"/>
  <c r="AR13" i="97"/>
  <c r="AO13" i="97"/>
  <c r="S13" i="97"/>
  <c r="D13" i="97"/>
  <c r="C13" i="97"/>
  <c r="B13" i="97"/>
  <c r="A13" i="97"/>
  <c r="BX12" i="97"/>
  <c r="BV12" i="97"/>
  <c r="G12" i="1"/>
  <c r="BA12" i="97"/>
  <c r="AW12" i="97"/>
  <c r="AR12" i="97"/>
  <c r="AO12" i="97"/>
  <c r="S12" i="97"/>
  <c r="D12" i="97"/>
  <c r="C12" i="97"/>
  <c r="B12" i="97"/>
  <c r="A12" i="97"/>
  <c r="BX11" i="97"/>
  <c r="BV11" i="97"/>
  <c r="G11" i="1"/>
  <c r="BA11" i="97"/>
  <c r="AW11" i="97"/>
  <c r="AR11" i="97"/>
  <c r="AO11" i="97"/>
  <c r="S11" i="97"/>
  <c r="D11" i="97"/>
  <c r="C11" i="97"/>
  <c r="B11" i="97"/>
  <c r="A11" i="97"/>
  <c r="BX10" i="97"/>
  <c r="BV10" i="97"/>
  <c r="G10" i="1"/>
  <c r="BA10" i="97"/>
  <c r="AW10" i="97"/>
  <c r="AR10" i="97"/>
  <c r="AO10" i="97"/>
  <c r="S10" i="97"/>
  <c r="D10" i="97"/>
  <c r="C10" i="97"/>
  <c r="B10" i="97"/>
  <c r="A10" i="97"/>
  <c r="G9" i="1"/>
  <c r="D9" i="97"/>
  <c r="C9" i="97"/>
  <c r="B9" i="97"/>
  <c r="A9" i="97"/>
  <c r="BX8" i="97"/>
  <c r="BV8" i="97"/>
  <c r="G8" i="1"/>
  <c r="BA8" i="97"/>
  <c r="AW8" i="97"/>
  <c r="AR8" i="97"/>
  <c r="AO8" i="97"/>
  <c r="AB8" i="97"/>
  <c r="AA8" i="97" s="1"/>
  <c r="U8" i="97"/>
  <c r="S8" i="97"/>
  <c r="D8" i="97"/>
  <c r="C8" i="97"/>
  <c r="B8" i="97"/>
  <c r="A8" i="97"/>
  <c r="Q5" i="97"/>
  <c r="Q4" i="97"/>
  <c r="J99" i="87"/>
  <c r="I99" i="87"/>
  <c r="H99" i="87"/>
  <c r="D99" i="87"/>
  <c r="C99" i="87"/>
  <c r="B99" i="87"/>
  <c r="A99" i="87"/>
  <c r="J98" i="87"/>
  <c r="I98" i="87"/>
  <c r="H98" i="87"/>
  <c r="D98" i="87"/>
  <c r="C98" i="87"/>
  <c r="B98" i="87"/>
  <c r="A98" i="87"/>
  <c r="J97" i="87"/>
  <c r="I97" i="87"/>
  <c r="H97" i="87"/>
  <c r="D97" i="87"/>
  <c r="C97" i="87"/>
  <c r="B97" i="87"/>
  <c r="A97" i="87"/>
  <c r="J96" i="87"/>
  <c r="I96" i="87"/>
  <c r="H96" i="87"/>
  <c r="D96" i="87"/>
  <c r="C96" i="87"/>
  <c r="B96" i="87"/>
  <c r="A96" i="87"/>
  <c r="J95" i="87"/>
  <c r="I95" i="87"/>
  <c r="H95" i="87"/>
  <c r="D95" i="87"/>
  <c r="C95" i="87"/>
  <c r="B95" i="87"/>
  <c r="A95" i="87"/>
  <c r="J94" i="87"/>
  <c r="I94" i="87"/>
  <c r="H94" i="87"/>
  <c r="D94" i="87"/>
  <c r="C94" i="87"/>
  <c r="B94" i="87"/>
  <c r="A94" i="87"/>
  <c r="J93" i="87"/>
  <c r="I93" i="87"/>
  <c r="H93" i="87"/>
  <c r="D93" i="87"/>
  <c r="C93" i="87"/>
  <c r="B93" i="87"/>
  <c r="A93" i="87"/>
  <c r="J92" i="87"/>
  <c r="I92" i="87"/>
  <c r="H92" i="87"/>
  <c r="D92" i="87"/>
  <c r="C92" i="87"/>
  <c r="B92" i="87"/>
  <c r="A92" i="87"/>
  <c r="J91" i="87"/>
  <c r="I91" i="87"/>
  <c r="H91" i="87"/>
  <c r="D91" i="87"/>
  <c r="C91" i="87"/>
  <c r="B91" i="87"/>
  <c r="A91" i="87"/>
  <c r="J90" i="87"/>
  <c r="I90" i="87"/>
  <c r="H90" i="87"/>
  <c r="D90" i="87"/>
  <c r="C90" i="87"/>
  <c r="B90" i="87"/>
  <c r="A90" i="87"/>
  <c r="J89" i="87"/>
  <c r="I89" i="87"/>
  <c r="H89" i="87"/>
  <c r="D89" i="87"/>
  <c r="C89" i="87"/>
  <c r="B89" i="87"/>
  <c r="A89" i="87"/>
  <c r="J88" i="87"/>
  <c r="I88" i="87"/>
  <c r="H88" i="87"/>
  <c r="D88" i="87"/>
  <c r="C88" i="87"/>
  <c r="B88" i="87"/>
  <c r="A88" i="87"/>
  <c r="J87" i="87"/>
  <c r="I87" i="87"/>
  <c r="H87" i="87"/>
  <c r="D87" i="87"/>
  <c r="C87" i="87"/>
  <c r="B87" i="87"/>
  <c r="A87" i="87"/>
  <c r="J86" i="87"/>
  <c r="I86" i="87"/>
  <c r="H86" i="87"/>
  <c r="D86" i="87"/>
  <c r="C86" i="87"/>
  <c r="B86" i="87"/>
  <c r="A86" i="87"/>
  <c r="J85" i="87"/>
  <c r="I85" i="87"/>
  <c r="H85" i="87"/>
  <c r="D85" i="87"/>
  <c r="C85" i="87"/>
  <c r="B85" i="87"/>
  <c r="A85" i="87"/>
  <c r="J84" i="87"/>
  <c r="I84" i="87"/>
  <c r="H84" i="87"/>
  <c r="D84" i="87"/>
  <c r="C84" i="87"/>
  <c r="B84" i="87"/>
  <c r="A84" i="87"/>
  <c r="J83" i="87"/>
  <c r="I83" i="87"/>
  <c r="H83" i="87"/>
  <c r="D83" i="87"/>
  <c r="C83" i="87"/>
  <c r="B83" i="87"/>
  <c r="A83" i="87"/>
  <c r="J82" i="87"/>
  <c r="I82" i="87"/>
  <c r="H82" i="87"/>
  <c r="D82" i="87"/>
  <c r="C82" i="87"/>
  <c r="B82" i="87"/>
  <c r="A82" i="87"/>
  <c r="J81" i="87"/>
  <c r="I81" i="87"/>
  <c r="H81" i="87"/>
  <c r="D81" i="87"/>
  <c r="C81" i="87"/>
  <c r="B81" i="87"/>
  <c r="A81" i="87"/>
  <c r="J80" i="87"/>
  <c r="I80" i="87"/>
  <c r="H80" i="87"/>
  <c r="D80" i="87"/>
  <c r="C80" i="87"/>
  <c r="B80" i="87"/>
  <c r="A80" i="87"/>
  <c r="J79" i="87"/>
  <c r="I79" i="87"/>
  <c r="H79" i="87"/>
  <c r="D79" i="87"/>
  <c r="C79" i="87"/>
  <c r="B79" i="87"/>
  <c r="A79" i="87"/>
  <c r="AL78" i="97"/>
  <c r="AM78" i="97" s="1"/>
  <c r="AI78" i="97"/>
  <c r="AJ78" i="97" s="1"/>
  <c r="AF78" i="97"/>
  <c r="AG78" i="97" s="1"/>
  <c r="J78" i="87"/>
  <c r="I78" i="87"/>
  <c r="H78" i="87"/>
  <c r="D78" i="87"/>
  <c r="C78" i="87"/>
  <c r="B78" i="87"/>
  <c r="A78" i="87"/>
  <c r="AL77" i="97"/>
  <c r="AM77" i="97" s="1"/>
  <c r="AI77" i="97"/>
  <c r="AJ77" i="97" s="1"/>
  <c r="AF77" i="97"/>
  <c r="AG77" i="97" s="1"/>
  <c r="J77" i="87"/>
  <c r="I77" i="87"/>
  <c r="H77" i="87"/>
  <c r="D77" i="87"/>
  <c r="C77" i="87"/>
  <c r="B77" i="87"/>
  <c r="A77" i="87"/>
  <c r="AL76" i="97"/>
  <c r="AM76" i="97" s="1"/>
  <c r="AI76" i="97"/>
  <c r="AJ76" i="97" s="1"/>
  <c r="AF76" i="97"/>
  <c r="AG76" i="97" s="1"/>
  <c r="J76" i="87"/>
  <c r="I76" i="87"/>
  <c r="H76" i="87"/>
  <c r="D76" i="87"/>
  <c r="C76" i="87"/>
  <c r="B76" i="87"/>
  <c r="A76" i="87"/>
  <c r="AL75" i="97"/>
  <c r="AM75" i="97" s="1"/>
  <c r="AI75" i="97"/>
  <c r="AJ75" i="97" s="1"/>
  <c r="AF75" i="97"/>
  <c r="AG75" i="97" s="1"/>
  <c r="J75" i="87"/>
  <c r="I75" i="87"/>
  <c r="H75" i="87"/>
  <c r="D75" i="87"/>
  <c r="C75" i="87"/>
  <c r="B75" i="87"/>
  <c r="A75" i="87"/>
  <c r="AL74" i="97"/>
  <c r="AM74" i="97" s="1"/>
  <c r="AI74" i="97"/>
  <c r="AJ74" i="97" s="1"/>
  <c r="AF74" i="97"/>
  <c r="AG74" i="97" s="1"/>
  <c r="J74" i="87"/>
  <c r="I74" i="87"/>
  <c r="H74" i="87"/>
  <c r="D74" i="87"/>
  <c r="C74" i="87"/>
  <c r="B74" i="87"/>
  <c r="A74" i="87"/>
  <c r="AL73" i="97"/>
  <c r="AM73" i="97" s="1"/>
  <c r="AI73" i="97"/>
  <c r="AJ73" i="97" s="1"/>
  <c r="AF73" i="97"/>
  <c r="AG73" i="97" s="1"/>
  <c r="J73" i="87"/>
  <c r="I73" i="87"/>
  <c r="H73" i="87"/>
  <c r="D73" i="87"/>
  <c r="C73" i="87"/>
  <c r="B73" i="87"/>
  <c r="A73" i="87"/>
  <c r="AL72" i="97"/>
  <c r="AM72" i="97" s="1"/>
  <c r="AI72" i="97"/>
  <c r="AJ72" i="97" s="1"/>
  <c r="AF72" i="97"/>
  <c r="AG72" i="97" s="1"/>
  <c r="J72" i="87"/>
  <c r="I72" i="87"/>
  <c r="H72" i="87"/>
  <c r="D72" i="87"/>
  <c r="C72" i="87"/>
  <c r="B72" i="87"/>
  <c r="A72" i="87"/>
  <c r="AL71" i="97"/>
  <c r="AM71" i="97" s="1"/>
  <c r="AI71" i="97"/>
  <c r="AJ71" i="97" s="1"/>
  <c r="AF71" i="97"/>
  <c r="AG71" i="97" s="1"/>
  <c r="J71" i="87"/>
  <c r="I71" i="87"/>
  <c r="H71" i="87"/>
  <c r="D71" i="87"/>
  <c r="C71" i="87"/>
  <c r="B71" i="87"/>
  <c r="A71" i="87"/>
  <c r="AL70" i="97"/>
  <c r="AM70" i="97" s="1"/>
  <c r="AI70" i="97"/>
  <c r="AJ70" i="97" s="1"/>
  <c r="AF70" i="97"/>
  <c r="AG70" i="97" s="1"/>
  <c r="J70" i="87"/>
  <c r="I70" i="87"/>
  <c r="H70" i="87"/>
  <c r="D70" i="87"/>
  <c r="C70" i="87"/>
  <c r="B70" i="87"/>
  <c r="A70" i="87"/>
  <c r="AL69" i="97"/>
  <c r="AM69" i="97" s="1"/>
  <c r="AI69" i="97"/>
  <c r="AJ69" i="97" s="1"/>
  <c r="AF69" i="97"/>
  <c r="AG69" i="97" s="1"/>
  <c r="J69" i="87"/>
  <c r="I69" i="87"/>
  <c r="H69" i="97" s="1"/>
  <c r="I69" i="97" s="1"/>
  <c r="H69" i="87"/>
  <c r="E69" i="97" s="1"/>
  <c r="F69" i="97" s="1"/>
  <c r="D69" i="87"/>
  <c r="C69" i="87"/>
  <c r="B69" i="87"/>
  <c r="A69" i="87"/>
  <c r="AL68" i="97"/>
  <c r="AM68" i="97" s="1"/>
  <c r="AI68" i="97"/>
  <c r="AJ68" i="97" s="1"/>
  <c r="AF68" i="97"/>
  <c r="AG68" i="97" s="1"/>
  <c r="J68" i="87"/>
  <c r="K68" i="97" s="1"/>
  <c r="L68" i="97" s="1"/>
  <c r="I68" i="87"/>
  <c r="H68" i="87"/>
  <c r="E68" i="97" s="1"/>
  <c r="F68" i="97" s="1"/>
  <c r="D68" i="87"/>
  <c r="C68" i="87"/>
  <c r="B68" i="87"/>
  <c r="A68" i="87"/>
  <c r="AL67" i="97"/>
  <c r="AM67" i="97" s="1"/>
  <c r="AI67" i="97"/>
  <c r="AJ67" i="97" s="1"/>
  <c r="AF67" i="97"/>
  <c r="AG67" i="97" s="1"/>
  <c r="J67" i="87"/>
  <c r="I67" i="87"/>
  <c r="H67" i="87"/>
  <c r="E67" i="97" s="1"/>
  <c r="F67" i="97" s="1"/>
  <c r="D67" i="87"/>
  <c r="C67" i="87"/>
  <c r="B67" i="87"/>
  <c r="A67" i="87"/>
  <c r="AL66" i="97"/>
  <c r="AM66" i="97" s="1"/>
  <c r="AI66" i="97"/>
  <c r="AJ66" i="97" s="1"/>
  <c r="AF66" i="97"/>
  <c r="AG66" i="97" s="1"/>
  <c r="J66" i="87"/>
  <c r="I66" i="87"/>
  <c r="H66" i="87"/>
  <c r="E66" i="97" s="1"/>
  <c r="F66" i="97" s="1"/>
  <c r="D66" i="87"/>
  <c r="C66" i="87"/>
  <c r="B66" i="87"/>
  <c r="A66" i="87"/>
  <c r="AL65" i="97"/>
  <c r="AM65" i="97" s="1"/>
  <c r="AI65" i="97"/>
  <c r="AJ65" i="97" s="1"/>
  <c r="AF65" i="97"/>
  <c r="AG65" i="97" s="1"/>
  <c r="J65" i="87"/>
  <c r="I65" i="87"/>
  <c r="H65" i="87"/>
  <c r="E65" i="97" s="1"/>
  <c r="F65" i="97" s="1"/>
  <c r="D65" i="87"/>
  <c r="C65" i="87"/>
  <c r="B65" i="87"/>
  <c r="A65" i="87"/>
  <c r="AL64" i="97"/>
  <c r="AM64" i="97" s="1"/>
  <c r="AI64" i="97"/>
  <c r="AJ64" i="97" s="1"/>
  <c r="AF64" i="97"/>
  <c r="AG64" i="97" s="1"/>
  <c r="J64" i="87"/>
  <c r="I64" i="87"/>
  <c r="H64" i="97" s="1"/>
  <c r="I64" i="97" s="1"/>
  <c r="H64" i="87"/>
  <c r="E64" i="97" s="1"/>
  <c r="F64" i="97" s="1"/>
  <c r="D64" i="87"/>
  <c r="C64" i="87"/>
  <c r="B64" i="87"/>
  <c r="A64" i="87"/>
  <c r="AL63" i="97"/>
  <c r="AM63" i="97" s="1"/>
  <c r="AI63" i="97"/>
  <c r="AJ63" i="97" s="1"/>
  <c r="AF63" i="97"/>
  <c r="AG63" i="97" s="1"/>
  <c r="J63" i="87"/>
  <c r="I63" i="87"/>
  <c r="H63" i="87"/>
  <c r="E63" i="97" s="1"/>
  <c r="F63" i="97" s="1"/>
  <c r="D63" i="87"/>
  <c r="C63" i="87"/>
  <c r="B63" i="87"/>
  <c r="A63" i="87"/>
  <c r="AL62" i="97"/>
  <c r="AM62" i="97" s="1"/>
  <c r="AI62" i="97"/>
  <c r="AJ62" i="97" s="1"/>
  <c r="AF62" i="97"/>
  <c r="AG62" i="97" s="1"/>
  <c r="J62" i="87"/>
  <c r="I62" i="87"/>
  <c r="H62" i="87"/>
  <c r="E62" i="97" s="1"/>
  <c r="F62" i="97" s="1"/>
  <c r="D62" i="87"/>
  <c r="C62" i="87"/>
  <c r="B62" i="87"/>
  <c r="A62" i="87"/>
  <c r="AL61" i="97"/>
  <c r="AM61" i="97" s="1"/>
  <c r="AI61" i="97"/>
  <c r="AJ61" i="97" s="1"/>
  <c r="AF61" i="97"/>
  <c r="AG61" i="97" s="1"/>
  <c r="J61" i="87"/>
  <c r="I61" i="87"/>
  <c r="H61" i="87"/>
  <c r="E61" i="97" s="1"/>
  <c r="F61" i="97" s="1"/>
  <c r="D61" i="87"/>
  <c r="C61" i="87"/>
  <c r="A61" i="87"/>
  <c r="AL60" i="97"/>
  <c r="AM60" i="97" s="1"/>
  <c r="AI60" i="97"/>
  <c r="AJ60" i="97" s="1"/>
  <c r="AF60" i="97"/>
  <c r="AG60" i="97" s="1"/>
  <c r="J60" i="87"/>
  <c r="I60" i="87"/>
  <c r="H60" i="87"/>
  <c r="E60" i="97" s="1"/>
  <c r="F60" i="97" s="1"/>
  <c r="A60" i="87"/>
  <c r="AI59" i="97"/>
  <c r="AJ59" i="97" s="1"/>
  <c r="J59" i="87"/>
  <c r="I59" i="87"/>
  <c r="H59" i="87"/>
  <c r="E59" i="97" s="1"/>
  <c r="D59" i="87"/>
  <c r="C59" i="87"/>
  <c r="B59" i="87"/>
  <c r="A59" i="87"/>
  <c r="AI58" i="97"/>
  <c r="AJ58" i="97" s="1"/>
  <c r="J58" i="87"/>
  <c r="I58" i="87"/>
  <c r="H58" i="87"/>
  <c r="G58" i="87"/>
  <c r="D58" i="87"/>
  <c r="C58" i="87"/>
  <c r="B58" i="87"/>
  <c r="A58" i="87"/>
  <c r="AL57" i="97"/>
  <c r="AM57" i="97" s="1"/>
  <c r="AI57" i="97"/>
  <c r="AJ57" i="97" s="1"/>
  <c r="AF57" i="97"/>
  <c r="AG57" i="97" s="1"/>
  <c r="J57" i="87"/>
  <c r="I57" i="87"/>
  <c r="H57" i="87"/>
  <c r="G57" i="87"/>
  <c r="D57" i="87"/>
  <c r="C57" i="87"/>
  <c r="B57" i="87"/>
  <c r="A57" i="87"/>
  <c r="AF56" i="97"/>
  <c r="AG56" i="97" s="1"/>
  <c r="J56" i="87"/>
  <c r="K56" i="97" s="1"/>
  <c r="L56" i="97" s="1"/>
  <c r="I56" i="87"/>
  <c r="H56" i="87"/>
  <c r="E56" i="97" s="1"/>
  <c r="F56" i="97" s="1"/>
  <c r="G56" i="87"/>
  <c r="D56" i="87"/>
  <c r="C56" i="87"/>
  <c r="B56" i="87"/>
  <c r="A56" i="87"/>
  <c r="AI55" i="97"/>
  <c r="AJ55" i="97" s="1"/>
  <c r="J55" i="87"/>
  <c r="K55" i="97" s="1"/>
  <c r="I55" i="87"/>
  <c r="H55" i="87"/>
  <c r="E55" i="97" s="1"/>
  <c r="F55" i="97" s="1"/>
  <c r="G55" i="87"/>
  <c r="D55" i="87"/>
  <c r="C55" i="87"/>
  <c r="B55" i="87"/>
  <c r="A55" i="87"/>
  <c r="AL54" i="97"/>
  <c r="AM54" i="97" s="1"/>
  <c r="AF54" i="97"/>
  <c r="AG54" i="97" s="1"/>
  <c r="J54" i="87"/>
  <c r="K54" i="97" s="1"/>
  <c r="L54" i="97" s="1"/>
  <c r="I54" i="87"/>
  <c r="H54" i="87"/>
  <c r="G54" i="87"/>
  <c r="D54" i="87"/>
  <c r="C54" i="87"/>
  <c r="B54" i="87"/>
  <c r="A54" i="87"/>
  <c r="I53" i="97"/>
  <c r="J53" i="87"/>
  <c r="K53" i="97" s="1"/>
  <c r="L53" i="97" s="1"/>
  <c r="I53" i="87"/>
  <c r="H53" i="87"/>
  <c r="G53" i="87"/>
  <c r="D53" i="87"/>
  <c r="C53" i="87"/>
  <c r="B53" i="87"/>
  <c r="A53" i="87"/>
  <c r="AI52" i="97"/>
  <c r="AJ52" i="97" s="1"/>
  <c r="J52" i="87"/>
  <c r="K52" i="97" s="1"/>
  <c r="L52" i="97" s="1"/>
  <c r="I52" i="87"/>
  <c r="H52" i="87"/>
  <c r="G52" i="87"/>
  <c r="D52" i="87"/>
  <c r="C52" i="87"/>
  <c r="B52" i="87"/>
  <c r="A52" i="87"/>
  <c r="AL51" i="97"/>
  <c r="AM51" i="97" s="1"/>
  <c r="AI51" i="97"/>
  <c r="AJ51" i="97" s="1"/>
  <c r="AF51" i="97"/>
  <c r="AG51" i="97" s="1"/>
  <c r="J51" i="87"/>
  <c r="K51" i="97" s="1"/>
  <c r="L51" i="97" s="1"/>
  <c r="I51" i="87"/>
  <c r="H51" i="87"/>
  <c r="G51" i="87"/>
  <c r="D51" i="87"/>
  <c r="C51" i="87"/>
  <c r="B51" i="87"/>
  <c r="A51" i="87"/>
  <c r="AI50" i="97"/>
  <c r="AJ50" i="97" s="1"/>
  <c r="J50" i="87"/>
  <c r="K50" i="97" s="1"/>
  <c r="I50" i="87"/>
  <c r="H50" i="87"/>
  <c r="G50" i="87"/>
  <c r="D50" i="87"/>
  <c r="C50" i="87"/>
  <c r="B50" i="87"/>
  <c r="A50" i="87"/>
  <c r="AL49" i="97"/>
  <c r="AM49" i="97" s="1"/>
  <c r="AI49" i="97"/>
  <c r="AJ49" i="97" s="1"/>
  <c r="AF49" i="97"/>
  <c r="AG49" i="97" s="1"/>
  <c r="J49" i="87"/>
  <c r="K49" i="97" s="1"/>
  <c r="L49" i="97" s="1"/>
  <c r="I49" i="87"/>
  <c r="H49" i="87"/>
  <c r="E49" i="97" s="1"/>
  <c r="F49" i="97" s="1"/>
  <c r="G49" i="87"/>
  <c r="D49" i="87"/>
  <c r="C49" i="87"/>
  <c r="B49" i="87"/>
  <c r="A49" i="87"/>
  <c r="AL48" i="97"/>
  <c r="AM48" i="97" s="1"/>
  <c r="AI48" i="97"/>
  <c r="AJ48" i="97" s="1"/>
  <c r="AF48" i="97"/>
  <c r="AG48" i="97" s="1"/>
  <c r="J48" i="87"/>
  <c r="K48" i="97" s="1"/>
  <c r="L48" i="97" s="1"/>
  <c r="I48" i="87"/>
  <c r="H48" i="87"/>
  <c r="E48" i="97" s="1"/>
  <c r="F48" i="97" s="1"/>
  <c r="G48" i="87"/>
  <c r="D48" i="87"/>
  <c r="C48" i="87"/>
  <c r="B48" i="87"/>
  <c r="A48" i="87"/>
  <c r="AL47" i="97"/>
  <c r="AM47" i="97" s="1"/>
  <c r="AI47" i="97"/>
  <c r="AJ47" i="97" s="1"/>
  <c r="AF47" i="97"/>
  <c r="AG47" i="97" s="1"/>
  <c r="J47" i="87"/>
  <c r="K47" i="97" s="1"/>
  <c r="L47" i="97" s="1"/>
  <c r="I47" i="87"/>
  <c r="H47" i="87"/>
  <c r="D47" i="87"/>
  <c r="C47" i="87"/>
  <c r="B47" i="87"/>
  <c r="A47" i="87"/>
  <c r="AL46" i="97"/>
  <c r="AM46" i="97" s="1"/>
  <c r="AI46" i="97"/>
  <c r="AJ46" i="97" s="1"/>
  <c r="AF46" i="97"/>
  <c r="AG46" i="97" s="1"/>
  <c r="J46" i="87"/>
  <c r="K46" i="97" s="1"/>
  <c r="L46" i="97" s="1"/>
  <c r="I46" i="87"/>
  <c r="H46" i="87"/>
  <c r="G46" i="87"/>
  <c r="D46" i="87"/>
  <c r="C46" i="87"/>
  <c r="B46" i="87"/>
  <c r="A46" i="87"/>
  <c r="J45" i="87"/>
  <c r="K45" i="97" s="1"/>
  <c r="L45" i="97" s="1"/>
  <c r="I45" i="87"/>
  <c r="H45" i="87"/>
  <c r="E45" i="97" s="1"/>
  <c r="F45" i="97" s="1"/>
  <c r="G45" i="87"/>
  <c r="D45" i="87"/>
  <c r="C45" i="87"/>
  <c r="B45" i="87"/>
  <c r="A45" i="87"/>
  <c r="AI44" i="97"/>
  <c r="AJ44" i="97" s="1"/>
  <c r="J44" i="87"/>
  <c r="K44" i="97" s="1"/>
  <c r="L44" i="97" s="1"/>
  <c r="I44" i="87"/>
  <c r="H44" i="87"/>
  <c r="G44" i="87"/>
  <c r="D44" i="87"/>
  <c r="C44" i="87"/>
  <c r="B44" i="87"/>
  <c r="A44" i="87"/>
  <c r="AL43" i="97"/>
  <c r="AM43" i="97" s="1"/>
  <c r="AI43" i="97"/>
  <c r="AJ43" i="97" s="1"/>
  <c r="J43" i="87"/>
  <c r="K43" i="97" s="1"/>
  <c r="L43" i="97" s="1"/>
  <c r="I43" i="87"/>
  <c r="G43" i="87"/>
  <c r="D43" i="87"/>
  <c r="C43" i="87"/>
  <c r="B43" i="87"/>
  <c r="A43" i="87"/>
  <c r="AL42" i="97"/>
  <c r="AM42" i="97" s="1"/>
  <c r="AF42" i="97"/>
  <c r="AG42" i="97" s="1"/>
  <c r="J42" i="87"/>
  <c r="K42" i="97" s="1"/>
  <c r="L42" i="97" s="1"/>
  <c r="I42" i="87"/>
  <c r="H42" i="87"/>
  <c r="E42" i="97" s="1"/>
  <c r="F42" i="97" s="1"/>
  <c r="G42" i="87"/>
  <c r="D42" i="87"/>
  <c r="C42" i="87"/>
  <c r="B42" i="87"/>
  <c r="A42" i="87"/>
  <c r="AL41" i="97"/>
  <c r="AM41" i="97" s="1"/>
  <c r="AF41" i="97"/>
  <c r="AG41" i="97" s="1"/>
  <c r="J41" i="87"/>
  <c r="K41" i="97" s="1"/>
  <c r="L41" i="97" s="1"/>
  <c r="I41" i="87"/>
  <c r="H41" i="87"/>
  <c r="G41" i="87"/>
  <c r="D41" i="87"/>
  <c r="C41" i="87"/>
  <c r="B41" i="87"/>
  <c r="A41" i="87"/>
  <c r="AL40" i="97"/>
  <c r="AM40" i="97" s="1"/>
  <c r="AI40" i="97"/>
  <c r="AJ40" i="97" s="1"/>
  <c r="AF40" i="97"/>
  <c r="AG40" i="97" s="1"/>
  <c r="J40" i="87"/>
  <c r="K40" i="97" s="1"/>
  <c r="L40" i="97" s="1"/>
  <c r="I40" i="87"/>
  <c r="H40" i="87"/>
  <c r="G40" i="87"/>
  <c r="D40" i="87"/>
  <c r="C40" i="87"/>
  <c r="B40" i="87"/>
  <c r="A40" i="87"/>
  <c r="AL39" i="97"/>
  <c r="AM39" i="97" s="1"/>
  <c r="AI39" i="97"/>
  <c r="AJ39" i="97" s="1"/>
  <c r="AF39" i="97"/>
  <c r="AG39" i="97" s="1"/>
  <c r="J39" i="87"/>
  <c r="K39" i="97" s="1"/>
  <c r="L39" i="97" s="1"/>
  <c r="I39" i="87"/>
  <c r="H39" i="87"/>
  <c r="G39" i="87"/>
  <c r="D39" i="87"/>
  <c r="C39" i="87"/>
  <c r="B39" i="87"/>
  <c r="A39" i="87"/>
  <c r="H38" i="97"/>
  <c r="I38" i="97" s="1"/>
  <c r="J38" i="87"/>
  <c r="K38" i="97" s="1"/>
  <c r="L38" i="97" s="1"/>
  <c r="I38" i="87"/>
  <c r="H38" i="87"/>
  <c r="G38" i="87"/>
  <c r="D38" i="87"/>
  <c r="C38" i="87"/>
  <c r="B38" i="87"/>
  <c r="A38" i="87"/>
  <c r="AL37" i="97"/>
  <c r="AM37" i="97" s="1"/>
  <c r="H37" i="97"/>
  <c r="I37" i="97" s="1"/>
  <c r="AF37" i="97"/>
  <c r="AG37" i="97" s="1"/>
  <c r="J37" i="87"/>
  <c r="K37" i="97" s="1"/>
  <c r="L37" i="97" s="1"/>
  <c r="I37" i="87"/>
  <c r="H37" i="87"/>
  <c r="O37" i="97" s="1"/>
  <c r="G37" i="87"/>
  <c r="D37" i="87"/>
  <c r="C37" i="87"/>
  <c r="B37" i="87"/>
  <c r="A37" i="87"/>
  <c r="AI36" i="97"/>
  <c r="AJ36" i="97" s="1"/>
  <c r="J36" i="87"/>
  <c r="K36" i="97" s="1"/>
  <c r="L36" i="97" s="1"/>
  <c r="I36" i="87"/>
  <c r="H36" i="87"/>
  <c r="G36" i="87"/>
  <c r="D36" i="87"/>
  <c r="C36" i="87"/>
  <c r="B36" i="87"/>
  <c r="A36" i="87"/>
  <c r="AL35" i="97"/>
  <c r="AM35" i="97" s="1"/>
  <c r="AI35" i="97"/>
  <c r="AJ35" i="97" s="1"/>
  <c r="AF35" i="97"/>
  <c r="AG35" i="97" s="1"/>
  <c r="J35" i="87"/>
  <c r="K35" i="97" s="1"/>
  <c r="L35" i="97" s="1"/>
  <c r="I35" i="87"/>
  <c r="H35" i="87"/>
  <c r="O35" i="97" s="1"/>
  <c r="G35" i="87"/>
  <c r="D35" i="87"/>
  <c r="C35" i="87"/>
  <c r="B35" i="87"/>
  <c r="A35" i="87"/>
  <c r="AL34" i="97"/>
  <c r="AM34" i="97" s="1"/>
  <c r="AF34" i="97"/>
  <c r="AG34" i="97" s="1"/>
  <c r="J34" i="87"/>
  <c r="K34" i="97" s="1"/>
  <c r="L34" i="97" s="1"/>
  <c r="I34" i="87"/>
  <c r="H34" i="87"/>
  <c r="G34" i="87"/>
  <c r="D34" i="87"/>
  <c r="C34" i="87"/>
  <c r="B34" i="87"/>
  <c r="A34" i="87"/>
  <c r="AF33" i="97"/>
  <c r="AG33" i="97" s="1"/>
  <c r="J33" i="87"/>
  <c r="K33" i="97" s="1"/>
  <c r="L33" i="97" s="1"/>
  <c r="I33" i="87"/>
  <c r="H33" i="87"/>
  <c r="O33" i="97" s="1"/>
  <c r="G33" i="87"/>
  <c r="D33" i="87"/>
  <c r="C33" i="87"/>
  <c r="B33" i="87"/>
  <c r="A33" i="87"/>
  <c r="AL32" i="97"/>
  <c r="AM32" i="97" s="1"/>
  <c r="H32" i="97"/>
  <c r="I32" i="97" s="1"/>
  <c r="AF32" i="97"/>
  <c r="AG32" i="97" s="1"/>
  <c r="J32" i="87"/>
  <c r="K32" i="97" s="1"/>
  <c r="L32" i="97" s="1"/>
  <c r="I32" i="87"/>
  <c r="H32" i="87"/>
  <c r="O32" i="97" s="1"/>
  <c r="G32" i="87"/>
  <c r="D32" i="87"/>
  <c r="C32" i="87"/>
  <c r="B32" i="87"/>
  <c r="A32" i="87"/>
  <c r="J31" i="87"/>
  <c r="K31" i="97" s="1"/>
  <c r="L31" i="97" s="1"/>
  <c r="I31" i="87"/>
  <c r="H31" i="87"/>
  <c r="O31" i="97" s="1"/>
  <c r="G31" i="87"/>
  <c r="D31" i="87"/>
  <c r="C31" i="87"/>
  <c r="B31" i="87"/>
  <c r="A31" i="87"/>
  <c r="H30" i="97"/>
  <c r="I30" i="97" s="1"/>
  <c r="J30" i="87"/>
  <c r="K30" i="97" s="1"/>
  <c r="L30" i="97" s="1"/>
  <c r="I30" i="87"/>
  <c r="H30" i="87"/>
  <c r="G30" i="87"/>
  <c r="D30" i="87"/>
  <c r="C30" i="87"/>
  <c r="B30" i="87"/>
  <c r="A30" i="87"/>
  <c r="AL29" i="97"/>
  <c r="AM29" i="97" s="1"/>
  <c r="AI29" i="97"/>
  <c r="AJ29" i="97" s="1"/>
  <c r="AF29" i="97"/>
  <c r="AG29" i="97" s="1"/>
  <c r="J29" i="87"/>
  <c r="K29" i="97" s="1"/>
  <c r="L29" i="97" s="1"/>
  <c r="I29" i="87"/>
  <c r="H29" i="87"/>
  <c r="E29" i="97" s="1"/>
  <c r="F29" i="97" s="1"/>
  <c r="G29" i="87"/>
  <c r="D29" i="87"/>
  <c r="C29" i="87"/>
  <c r="B29" i="87"/>
  <c r="A29" i="87"/>
  <c r="AL28" i="97"/>
  <c r="AM28" i="97" s="1"/>
  <c r="AI28" i="97"/>
  <c r="AJ28" i="97" s="1"/>
  <c r="AF28" i="97"/>
  <c r="AG28" i="97" s="1"/>
  <c r="J28" i="87"/>
  <c r="K28" i="97" s="1"/>
  <c r="L28" i="97" s="1"/>
  <c r="I28" i="87"/>
  <c r="H28" i="87"/>
  <c r="G28" i="87"/>
  <c r="D28" i="87"/>
  <c r="C28" i="87"/>
  <c r="B28" i="87"/>
  <c r="A28" i="87"/>
  <c r="AL27" i="97"/>
  <c r="AM27" i="97" s="1"/>
  <c r="AF27" i="97"/>
  <c r="AG27" i="97" s="1"/>
  <c r="J27" i="87"/>
  <c r="K27" i="97" s="1"/>
  <c r="L27" i="97" s="1"/>
  <c r="I27" i="87"/>
  <c r="H27" i="87"/>
  <c r="G27" i="87"/>
  <c r="D27" i="87"/>
  <c r="C27" i="87"/>
  <c r="B27" i="87"/>
  <c r="A27" i="87"/>
  <c r="J26" i="87"/>
  <c r="K26" i="97" s="1"/>
  <c r="L26" i="97" s="1"/>
  <c r="I26" i="87"/>
  <c r="H26" i="87"/>
  <c r="O26" i="97" s="1"/>
  <c r="G26" i="87"/>
  <c r="D26" i="87"/>
  <c r="C26" i="87"/>
  <c r="B26" i="87"/>
  <c r="A26" i="87"/>
  <c r="AL25" i="97"/>
  <c r="AM25" i="97" s="1"/>
  <c r="AF25" i="97"/>
  <c r="AG25" i="97" s="1"/>
  <c r="J25" i="87"/>
  <c r="K25" i="97" s="1"/>
  <c r="L25" i="97" s="1"/>
  <c r="I25" i="87"/>
  <c r="H25" i="87"/>
  <c r="G25" i="87"/>
  <c r="D25" i="87"/>
  <c r="C25" i="87"/>
  <c r="B25" i="87"/>
  <c r="A25" i="87"/>
  <c r="AL24" i="97"/>
  <c r="AM24" i="97" s="1"/>
  <c r="AI24" i="97"/>
  <c r="AJ24" i="97" s="1"/>
  <c r="AF24" i="97"/>
  <c r="AG24" i="97" s="1"/>
  <c r="J24" i="87"/>
  <c r="K24" i="97" s="1"/>
  <c r="L24" i="97" s="1"/>
  <c r="I24" i="87"/>
  <c r="H24" i="87"/>
  <c r="E24" i="97" s="1"/>
  <c r="F24" i="97" s="1"/>
  <c r="G24" i="87"/>
  <c r="D24" i="87"/>
  <c r="C24" i="87"/>
  <c r="B24" i="87"/>
  <c r="A24" i="87"/>
  <c r="AL23" i="97"/>
  <c r="AM23" i="97" s="1"/>
  <c r="AI23" i="97"/>
  <c r="AJ23" i="97" s="1"/>
  <c r="AF23" i="97"/>
  <c r="AG23" i="97" s="1"/>
  <c r="J23" i="87"/>
  <c r="K23" i="97" s="1"/>
  <c r="L23" i="97" s="1"/>
  <c r="I23" i="87"/>
  <c r="H23" i="87"/>
  <c r="O23" i="97" s="1"/>
  <c r="G23" i="87"/>
  <c r="D23" i="87"/>
  <c r="C23" i="87"/>
  <c r="B23" i="87"/>
  <c r="A23" i="87"/>
  <c r="AI22" i="97"/>
  <c r="AJ22" i="97" s="1"/>
  <c r="J22" i="87"/>
  <c r="K22" i="97" s="1"/>
  <c r="L22" i="97" s="1"/>
  <c r="I22" i="87"/>
  <c r="H22" i="87"/>
  <c r="E22" i="97" s="1"/>
  <c r="F22" i="97" s="1"/>
  <c r="G22" i="87"/>
  <c r="D22" i="87"/>
  <c r="C22" i="87"/>
  <c r="B22" i="87"/>
  <c r="A22" i="87"/>
  <c r="AL21" i="97"/>
  <c r="AM21" i="97" s="1"/>
  <c r="AF21" i="97"/>
  <c r="AG21" i="97" s="1"/>
  <c r="J21" i="87"/>
  <c r="K21" i="97" s="1"/>
  <c r="L21" i="97" s="1"/>
  <c r="I21" i="87"/>
  <c r="H21" i="87"/>
  <c r="G21" i="87"/>
  <c r="D21" i="87"/>
  <c r="C21" i="87"/>
  <c r="B21" i="87"/>
  <c r="A21" i="87"/>
  <c r="AL20" i="97"/>
  <c r="AM20" i="97" s="1"/>
  <c r="H20" i="97"/>
  <c r="I20" i="97" s="1"/>
  <c r="AF20" i="97"/>
  <c r="AG20" i="97" s="1"/>
  <c r="J20" i="87"/>
  <c r="K20" i="97" s="1"/>
  <c r="L20" i="97" s="1"/>
  <c r="I20" i="87"/>
  <c r="H20" i="87"/>
  <c r="D20" i="87"/>
  <c r="C20" i="87"/>
  <c r="B20" i="87"/>
  <c r="A20" i="87"/>
  <c r="AL19" i="97"/>
  <c r="AM19" i="97" s="1"/>
  <c r="AF19" i="97"/>
  <c r="AG19" i="97" s="1"/>
  <c r="J19" i="87"/>
  <c r="K19" i="97" s="1"/>
  <c r="L19" i="97" s="1"/>
  <c r="I19" i="87"/>
  <c r="H19" i="87"/>
  <c r="G19" i="87"/>
  <c r="D19" i="87"/>
  <c r="C19" i="87"/>
  <c r="B19" i="87"/>
  <c r="A19" i="87"/>
  <c r="AL18" i="97"/>
  <c r="AM18" i="97" s="1"/>
  <c r="H18" i="97"/>
  <c r="I18" i="97" s="1"/>
  <c r="AF18" i="97"/>
  <c r="AG18" i="97" s="1"/>
  <c r="J18" i="87"/>
  <c r="K18" i="97" s="1"/>
  <c r="L18" i="97" s="1"/>
  <c r="I18" i="87"/>
  <c r="H18" i="87"/>
  <c r="O18" i="97" s="1"/>
  <c r="G18" i="87"/>
  <c r="D18" i="87"/>
  <c r="C18" i="87"/>
  <c r="B18" i="87"/>
  <c r="A18" i="87"/>
  <c r="AL17" i="97"/>
  <c r="AM17" i="97" s="1"/>
  <c r="H17" i="97"/>
  <c r="I17" i="97" s="1"/>
  <c r="AF17" i="97"/>
  <c r="AG17" i="97" s="1"/>
  <c r="J17" i="87"/>
  <c r="K17" i="97" s="1"/>
  <c r="L17" i="97" s="1"/>
  <c r="I17" i="87"/>
  <c r="H17" i="87"/>
  <c r="O17" i="97" s="1"/>
  <c r="G17" i="87"/>
  <c r="D17" i="87"/>
  <c r="C17" i="87"/>
  <c r="B17" i="87"/>
  <c r="A17" i="87"/>
  <c r="AL16" i="97"/>
  <c r="AM16" i="97" s="1"/>
  <c r="AF16" i="97"/>
  <c r="AG16" i="97" s="1"/>
  <c r="J16" i="87"/>
  <c r="K16" i="97" s="1"/>
  <c r="L16" i="97" s="1"/>
  <c r="I16" i="87"/>
  <c r="H16" i="87"/>
  <c r="G16" i="87"/>
  <c r="D16" i="87"/>
  <c r="C16" i="87"/>
  <c r="B16" i="87"/>
  <c r="A16" i="87"/>
  <c r="AL15" i="97"/>
  <c r="AM15" i="97" s="1"/>
  <c r="AF15" i="97"/>
  <c r="AG15" i="97" s="1"/>
  <c r="J15" i="87"/>
  <c r="K15" i="97" s="1"/>
  <c r="L15" i="97" s="1"/>
  <c r="I15" i="87"/>
  <c r="H15" i="87"/>
  <c r="D15" i="87"/>
  <c r="C15" i="87"/>
  <c r="B15" i="87"/>
  <c r="A15" i="87"/>
  <c r="AL14" i="97"/>
  <c r="AM14" i="97" s="1"/>
  <c r="H14" i="97"/>
  <c r="I14" i="97" s="1"/>
  <c r="AF14" i="97"/>
  <c r="AG14" i="97" s="1"/>
  <c r="J14" i="87"/>
  <c r="K14" i="97" s="1"/>
  <c r="L14" i="97" s="1"/>
  <c r="I14" i="87"/>
  <c r="H14" i="87"/>
  <c r="O14" i="97" s="1"/>
  <c r="D14" i="87"/>
  <c r="C14" i="87"/>
  <c r="B14" i="87"/>
  <c r="A14" i="87"/>
  <c r="AL13" i="97"/>
  <c r="AM13" i="97" s="1"/>
  <c r="H13" i="97"/>
  <c r="I13" i="97" s="1"/>
  <c r="AF13" i="97"/>
  <c r="AG13" i="97" s="1"/>
  <c r="J13" i="87"/>
  <c r="K13" i="97" s="1"/>
  <c r="L13" i="97" s="1"/>
  <c r="I13" i="87"/>
  <c r="H13" i="87"/>
  <c r="O13" i="97" s="1"/>
  <c r="AC13" i="97"/>
  <c r="D13" i="87"/>
  <c r="C13" i="87"/>
  <c r="B13" i="87"/>
  <c r="A13" i="87"/>
  <c r="AL12" i="97"/>
  <c r="AM12" i="97" s="1"/>
  <c r="AF12" i="97"/>
  <c r="AG12" i="97" s="1"/>
  <c r="J12" i="87"/>
  <c r="K12" i="97" s="1"/>
  <c r="L12" i="97" s="1"/>
  <c r="I12" i="87"/>
  <c r="H12" i="87"/>
  <c r="G12" i="87"/>
  <c r="D12" i="87"/>
  <c r="C12" i="87"/>
  <c r="B12" i="87"/>
  <c r="A12" i="87"/>
  <c r="AL11" i="97"/>
  <c r="AM11" i="97" s="1"/>
  <c r="AI11" i="97"/>
  <c r="AJ11" i="97" s="1"/>
  <c r="AF11" i="97"/>
  <c r="AG11" i="97" s="1"/>
  <c r="J11" i="87"/>
  <c r="K11" i="97" s="1"/>
  <c r="L11" i="97" s="1"/>
  <c r="I11" i="87"/>
  <c r="H11" i="87"/>
  <c r="G11" i="87"/>
  <c r="D11" i="87"/>
  <c r="C11" i="87"/>
  <c r="B11" i="87"/>
  <c r="A11" i="87"/>
  <c r="AI10" i="97"/>
  <c r="AJ10" i="97" s="1"/>
  <c r="I10" i="87"/>
  <c r="D10" i="87"/>
  <c r="C10" i="87"/>
  <c r="B10" i="87"/>
  <c r="A10" i="87"/>
  <c r="E18" i="96"/>
  <c r="J9" i="87"/>
  <c r="K9" i="97" s="1"/>
  <c r="L9" i="97" s="1"/>
  <c r="I9" i="87"/>
  <c r="H9" i="87"/>
  <c r="G9" i="87"/>
  <c r="AC9" i="97" s="1"/>
  <c r="AD9" i="97" s="1"/>
  <c r="D9" i="87"/>
  <c r="C9" i="87"/>
  <c r="B9" i="87"/>
  <c r="A9" i="87"/>
  <c r="AL8" i="97"/>
  <c r="AM8" i="97" s="1"/>
  <c r="L8" i="87"/>
  <c r="K8" i="87"/>
  <c r="AF8" i="97" s="1"/>
  <c r="AG8" i="97" s="1"/>
  <c r="J8" i="87"/>
  <c r="L8" i="97" s="1"/>
  <c r="I8" i="87"/>
  <c r="H8" i="87"/>
  <c r="D8" i="87"/>
  <c r="C8" i="87"/>
  <c r="B8" i="87"/>
  <c r="A8" i="87"/>
  <c r="N104" i="85"/>
  <c r="D103" i="85"/>
  <c r="X102" i="85"/>
  <c r="D102" i="85"/>
  <c r="X101" i="85"/>
  <c r="D101" i="85"/>
  <c r="X100" i="85"/>
  <c r="D100" i="85"/>
  <c r="X99" i="85"/>
  <c r="W99" i="85"/>
  <c r="D99" i="85"/>
  <c r="X98" i="85"/>
  <c r="W98" i="85"/>
  <c r="D98" i="85"/>
  <c r="X97" i="85"/>
  <c r="W97" i="85"/>
  <c r="D97" i="85"/>
  <c r="X96" i="85"/>
  <c r="W96" i="85"/>
  <c r="D96" i="85"/>
  <c r="X95" i="85"/>
  <c r="W95" i="85"/>
  <c r="D95" i="85"/>
  <c r="X94" i="85"/>
  <c r="W94" i="85"/>
  <c r="D94" i="85"/>
  <c r="X93" i="85"/>
  <c r="W93" i="85"/>
  <c r="D93" i="85"/>
  <c r="X92" i="85"/>
  <c r="W92" i="85"/>
  <c r="D92" i="85"/>
  <c r="X91" i="85"/>
  <c r="W91" i="85"/>
  <c r="D91" i="85"/>
  <c r="X90" i="85"/>
  <c r="W90" i="85"/>
  <c r="D90" i="85"/>
  <c r="X89" i="85"/>
  <c r="W89" i="85"/>
  <c r="D89" i="85"/>
  <c r="X88" i="85"/>
  <c r="W88" i="85"/>
  <c r="D88" i="85"/>
  <c r="X87" i="85"/>
  <c r="W87" i="85"/>
  <c r="D87" i="85"/>
  <c r="X86" i="85"/>
  <c r="W86" i="85"/>
  <c r="D86" i="85"/>
  <c r="X85" i="85"/>
  <c r="W85" i="85"/>
  <c r="D85" i="85"/>
  <c r="X84" i="85"/>
  <c r="W84" i="85"/>
  <c r="D84" i="85"/>
  <c r="X83" i="85"/>
  <c r="W83" i="85"/>
  <c r="D83" i="85"/>
  <c r="X82" i="85"/>
  <c r="W82" i="85"/>
  <c r="D82" i="85"/>
  <c r="X81" i="85"/>
  <c r="W81" i="85"/>
  <c r="D81" i="85"/>
  <c r="X80" i="85"/>
  <c r="W80" i="85"/>
  <c r="D80" i="85"/>
  <c r="X79" i="85"/>
  <c r="W79" i="85"/>
  <c r="D79" i="85"/>
  <c r="X78" i="85"/>
  <c r="BP78" i="97" s="1"/>
  <c r="W78" i="85"/>
  <c r="CH78" i="97" s="1"/>
  <c r="D78" i="85"/>
  <c r="X77" i="85"/>
  <c r="BP77" i="97" s="1"/>
  <c r="W77" i="85"/>
  <c r="CH77" i="97" s="1"/>
  <c r="D77" i="85"/>
  <c r="X76" i="85"/>
  <c r="BP76" i="97" s="1"/>
  <c r="W76" i="85"/>
  <c r="CH76" i="97" s="1"/>
  <c r="D76" i="85"/>
  <c r="X75" i="85"/>
  <c r="W75" i="85"/>
  <c r="CH75" i="97" s="1"/>
  <c r="D75" i="85"/>
  <c r="X74" i="85"/>
  <c r="W74" i="85"/>
  <c r="CH74" i="97" s="1"/>
  <c r="D74" i="85"/>
  <c r="X73" i="85"/>
  <c r="W73" i="85"/>
  <c r="CH73" i="97" s="1"/>
  <c r="D73" i="85"/>
  <c r="X72" i="85"/>
  <c r="W72" i="85"/>
  <c r="D72" i="85"/>
  <c r="X71" i="85"/>
  <c r="W71" i="85"/>
  <c r="D71" i="85"/>
  <c r="X70" i="85"/>
  <c r="W70" i="85"/>
  <c r="D70" i="85"/>
  <c r="F59" i="1"/>
  <c r="F58" i="1"/>
  <c r="F57" i="1"/>
  <c r="F56" i="1"/>
  <c r="F55" i="1"/>
  <c r="F54" i="1"/>
  <c r="F53" i="1"/>
  <c r="F52" i="1"/>
  <c r="F51" i="1"/>
  <c r="F50" i="1"/>
  <c r="E50" i="100"/>
  <c r="F49" i="1"/>
  <c r="F48" i="1"/>
  <c r="CH48" i="97"/>
  <c r="F47" i="1"/>
  <c r="CH47" i="97"/>
  <c r="F46" i="1"/>
  <c r="F45" i="1"/>
  <c r="CH45" i="97"/>
  <c r="F44" i="1"/>
  <c r="CH44" i="97"/>
  <c r="F43" i="1"/>
  <c r="F42" i="1"/>
  <c r="F41" i="1"/>
  <c r="F40" i="1"/>
  <c r="F39" i="1"/>
  <c r="F38" i="1"/>
  <c r="F36" i="1"/>
  <c r="F35" i="1"/>
  <c r="CH35" i="97"/>
  <c r="F34" i="1"/>
  <c r="F33" i="1"/>
  <c r="CH33" i="97"/>
  <c r="F32" i="1"/>
  <c r="F31" i="1"/>
  <c r="F30" i="1"/>
  <c r="F29" i="1"/>
  <c r="F26" i="1"/>
  <c r="CH26" i="97"/>
  <c r="F25" i="1"/>
  <c r="F24" i="1"/>
  <c r="F23" i="1"/>
  <c r="F22" i="1"/>
  <c r="F20" i="1"/>
  <c r="F19" i="1"/>
  <c r="CH19" i="97"/>
  <c r="F18" i="1"/>
  <c r="CH18" i="97"/>
  <c r="BP17" i="97"/>
  <c r="F17" i="1" s="1"/>
  <c r="CH17" i="97"/>
  <c r="BP16" i="97"/>
  <c r="F16" i="1" s="1"/>
  <c r="BP15" i="97"/>
  <c r="F15" i="1" s="1"/>
  <c r="BP14" i="97"/>
  <c r="F14" i="1" s="1"/>
  <c r="BP13" i="97"/>
  <c r="F13" i="1" s="1"/>
  <c r="BP12" i="97"/>
  <c r="F12" i="1" s="1"/>
  <c r="CH12" i="97"/>
  <c r="X11" i="85"/>
  <c r="BP11" i="97" s="1"/>
  <c r="F11" i="1" s="1"/>
  <c r="W11" i="85"/>
  <c r="X10" i="85"/>
  <c r="BP10" i="97" s="1"/>
  <c r="F10" i="1" s="1"/>
  <c r="W10" i="85"/>
  <c r="X9" i="85"/>
  <c r="W9" i="85"/>
  <c r="X8" i="85"/>
  <c r="W8" i="85"/>
  <c r="E9" i="97" l="1"/>
  <c r="F9" i="97" s="1"/>
  <c r="O9" i="97"/>
  <c r="F51" i="96"/>
  <c r="E25" i="96"/>
  <c r="E19" i="96"/>
  <c r="E17" i="96"/>
  <c r="E15" i="96"/>
  <c r="E14" i="96"/>
  <c r="AC11" i="97"/>
  <c r="Q42" i="97"/>
  <c r="R42" i="97" s="1"/>
  <c r="Q57" i="97"/>
  <c r="R57" i="97" s="1"/>
  <c r="Q34" i="97"/>
  <c r="R34" i="97" s="1"/>
  <c r="Q29" i="97"/>
  <c r="R29" i="97" s="1"/>
  <c r="Q54" i="97"/>
  <c r="R54" i="97" s="1"/>
  <c r="Q23" i="97"/>
  <c r="R23" i="97" s="1"/>
  <c r="Q19" i="97"/>
  <c r="R19" i="97" s="1"/>
  <c r="Q24" i="97"/>
  <c r="R24" i="97" s="1"/>
  <c r="Q26" i="97"/>
  <c r="R26" i="97" s="1"/>
  <c r="Q25" i="97"/>
  <c r="R25" i="97" s="1"/>
  <c r="Q20" i="97"/>
  <c r="R20" i="97" s="1"/>
  <c r="Q22" i="97"/>
  <c r="R22" i="97" s="1"/>
  <c r="Q21" i="97"/>
  <c r="R21" i="97" s="1"/>
  <c r="Q13" i="97"/>
  <c r="R13" i="97" s="1"/>
  <c r="Q11" i="97"/>
  <c r="R11" i="97" s="1"/>
  <c r="BP74" i="97"/>
  <c r="F74" i="1" s="1"/>
  <c r="BP73" i="97"/>
  <c r="F73" i="1" s="1"/>
  <c r="H76" i="1"/>
  <c r="BP70" i="97"/>
  <c r="F70" i="1" s="1"/>
  <c r="BP72" i="97"/>
  <c r="F72" i="1" s="1"/>
  <c r="BP71" i="97"/>
  <c r="F71" i="1" s="1"/>
  <c r="BP75" i="97"/>
  <c r="F75" i="1" s="1"/>
  <c r="N106" i="85"/>
  <c r="N107" i="85" s="1"/>
  <c r="N105" i="85"/>
  <c r="BP8" i="97"/>
  <c r="F8" i="1" s="1"/>
  <c r="X104" i="85"/>
  <c r="E28" i="100"/>
  <c r="F28" i="1"/>
  <c r="F46" i="99"/>
  <c r="F45" i="99"/>
  <c r="AS25" i="97"/>
  <c r="AS22" i="97"/>
  <c r="L55" i="97"/>
  <c r="AP11" i="97"/>
  <c r="AS30" i="97"/>
  <c r="AP49" i="97"/>
  <c r="E23" i="97"/>
  <c r="F23" i="97" s="1"/>
  <c r="L50" i="97"/>
  <c r="AP46" i="97"/>
  <c r="AP51" i="97"/>
  <c r="AS55" i="97"/>
  <c r="AP52" i="97"/>
  <c r="AS58" i="97"/>
  <c r="Q32" i="97"/>
  <c r="R32" i="97" s="1"/>
  <c r="AC46" i="97"/>
  <c r="AD46" i="97" s="1"/>
  <c r="AC60" i="97"/>
  <c r="AD60" i="97" s="1"/>
  <c r="AC64" i="97"/>
  <c r="AD64" i="97" s="1"/>
  <c r="AC73" i="97"/>
  <c r="AS29" i="97"/>
  <c r="AS36" i="97"/>
  <c r="AC53" i="97"/>
  <c r="AS49" i="97"/>
  <c r="F14" i="99"/>
  <c r="F15" i="99"/>
  <c r="Q46" i="97"/>
  <c r="R46" i="97" s="1"/>
  <c r="AP10" i="97"/>
  <c r="AC19" i="97"/>
  <c r="AD19" i="97" s="1"/>
  <c r="AS39" i="97"/>
  <c r="AS41" i="97"/>
  <c r="AP47" i="97"/>
  <c r="AP74" i="97"/>
  <c r="F8" i="99"/>
  <c r="AS11" i="97"/>
  <c r="O29" i="97"/>
  <c r="E31" i="97"/>
  <c r="F31" i="97" s="1"/>
  <c r="O42" i="97"/>
  <c r="F13" i="99"/>
  <c r="AC18" i="97"/>
  <c r="AD18" i="97" s="1"/>
  <c r="AI20" i="97"/>
  <c r="AJ20" i="97" s="1"/>
  <c r="E26" i="97"/>
  <c r="F26" i="97" s="1"/>
  <c r="AP34" i="97"/>
  <c r="E37" i="97"/>
  <c r="F37" i="97" s="1"/>
  <c r="F11" i="99"/>
  <c r="CH11" i="97"/>
  <c r="E11" i="97"/>
  <c r="F11" i="97" s="1"/>
  <c r="O11" i="97"/>
  <c r="AC14" i="97"/>
  <c r="AD14" i="97" s="1"/>
  <c r="Q14" i="97"/>
  <c r="R14" i="97" s="1"/>
  <c r="H26" i="97"/>
  <c r="I26" i="97" s="1"/>
  <c r="AI26" i="97"/>
  <c r="AJ26" i="97" s="1"/>
  <c r="O40" i="97"/>
  <c r="E40" i="97"/>
  <c r="F40" i="97" s="1"/>
  <c r="Q48" i="97"/>
  <c r="R48" i="97" s="1"/>
  <c r="AC48" i="97"/>
  <c r="AS72" i="97"/>
  <c r="AP32" i="97"/>
  <c r="AS73" i="97"/>
  <c r="AS23" i="97"/>
  <c r="AP23" i="97"/>
  <c r="AP24" i="97"/>
  <c r="AS32" i="97"/>
  <c r="AP17" i="97"/>
  <c r="AP18" i="97"/>
  <c r="F34" i="99"/>
  <c r="CH34" i="97"/>
  <c r="AP8" i="97"/>
  <c r="Q72" i="97"/>
  <c r="R72" i="97" s="1"/>
  <c r="AS10" i="97"/>
  <c r="E14" i="97"/>
  <c r="F14" i="97" s="1"/>
  <c r="E18" i="97"/>
  <c r="F18" i="97" s="1"/>
  <c r="AS24" i="97"/>
  <c r="AS28" i="97"/>
  <c r="H36" i="97"/>
  <c r="I36" i="97" s="1"/>
  <c r="AP36" i="97"/>
  <c r="AS44" i="97"/>
  <c r="AS46" i="97"/>
  <c r="AS51" i="97"/>
  <c r="AS54" i="97"/>
  <c r="AS71" i="97"/>
  <c r="F26" i="99"/>
  <c r="AP28" i="97"/>
  <c r="F39" i="99"/>
  <c r="F40" i="99"/>
  <c r="AS42" i="97"/>
  <c r="F44" i="99"/>
  <c r="E46" i="100"/>
  <c r="AS77" i="97"/>
  <c r="AC8" i="97"/>
  <c r="AD8" i="97" s="1"/>
  <c r="AC12" i="97"/>
  <c r="AD12" i="97" s="1"/>
  <c r="AC16" i="97"/>
  <c r="AD16" i="97" s="1"/>
  <c r="AC32" i="97"/>
  <c r="AS12" i="97"/>
  <c r="AP13" i="97"/>
  <c r="AP14" i="97"/>
  <c r="AS17" i="97"/>
  <c r="H22" i="97"/>
  <c r="I22" i="97" s="1"/>
  <c r="H24" i="97"/>
  <c r="I24" i="97" s="1"/>
  <c r="AS26" i="97"/>
  <c r="E33" i="97"/>
  <c r="F33" i="97" s="1"/>
  <c r="E35" i="97"/>
  <c r="F35" i="97" s="1"/>
  <c r="AI37" i="97"/>
  <c r="AJ37" i="97" s="1"/>
  <c r="AP78" i="97"/>
  <c r="F18" i="99"/>
  <c r="AP54" i="97"/>
  <c r="AD13" i="97"/>
  <c r="AC17" i="97"/>
  <c r="AD17" i="97" s="1"/>
  <c r="Q65" i="97"/>
  <c r="Q70" i="97"/>
  <c r="R70" i="97" s="1"/>
  <c r="AI13" i="97"/>
  <c r="AJ13" i="97" s="1"/>
  <c r="AS13" i="97"/>
  <c r="AI17" i="97"/>
  <c r="AJ17" i="97" s="1"/>
  <c r="AI18" i="97"/>
  <c r="AJ18" i="97" s="1"/>
  <c r="H39" i="97"/>
  <c r="I39" i="97" s="1"/>
  <c r="E47" i="97"/>
  <c r="F47" i="97" s="1"/>
  <c r="E52" i="97"/>
  <c r="F52" i="97" s="1"/>
  <c r="AI53" i="97"/>
  <c r="AJ53" i="97" s="1"/>
  <c r="AC70" i="97"/>
  <c r="AD70" i="97" s="1"/>
  <c r="F36" i="99"/>
  <c r="AP38" i="97"/>
  <c r="F9" i="99"/>
  <c r="AP42" i="97"/>
  <c r="AP75" i="97"/>
  <c r="AS75" i="97"/>
  <c r="AP57" i="97"/>
  <c r="F23" i="99"/>
  <c r="CH23" i="97"/>
  <c r="AP45" i="97"/>
  <c r="F20" i="99"/>
  <c r="CH20" i="97"/>
  <c r="F31" i="99"/>
  <c r="CH31" i="97"/>
  <c r="F51" i="99"/>
  <c r="CH51" i="97"/>
  <c r="AS53" i="97"/>
  <c r="AP53" i="97"/>
  <c r="CH54" i="97"/>
  <c r="F54" i="99"/>
  <c r="AP15" i="97"/>
  <c r="CH28" i="97"/>
  <c r="F28" i="99"/>
  <c r="F32" i="99"/>
  <c r="CH32" i="97"/>
  <c r="F38" i="99"/>
  <c r="AS48" i="97"/>
  <c r="F52" i="99"/>
  <c r="CH52" i="97"/>
  <c r="E59" i="100"/>
  <c r="CH59" i="97"/>
  <c r="AP71" i="97"/>
  <c r="O15" i="97"/>
  <c r="E15" i="97"/>
  <c r="F15" i="97" s="1"/>
  <c r="H15" i="97"/>
  <c r="I15" i="97" s="1"/>
  <c r="AI15" i="97"/>
  <c r="AJ15" i="97" s="1"/>
  <c r="O19" i="97"/>
  <c r="E19" i="97"/>
  <c r="F19" i="97" s="1"/>
  <c r="H19" i="97"/>
  <c r="I19" i="97" s="1"/>
  <c r="AI19" i="97"/>
  <c r="AJ19" i="97" s="1"/>
  <c r="AC22" i="97"/>
  <c r="AC24" i="97"/>
  <c r="O25" i="97"/>
  <c r="E25" i="97"/>
  <c r="F25" i="97" s="1"/>
  <c r="AI25" i="97"/>
  <c r="AJ25" i="97" s="1"/>
  <c r="H25" i="97"/>
  <c r="I25" i="97" s="1"/>
  <c r="O27" i="97"/>
  <c r="AI27" i="97"/>
  <c r="AJ27" i="97" s="1"/>
  <c r="H27" i="97"/>
  <c r="I27" i="97" s="1"/>
  <c r="Q30" i="97"/>
  <c r="R30" i="97" s="1"/>
  <c r="AC30" i="97"/>
  <c r="AC35" i="97"/>
  <c r="AD35" i="97" s="1"/>
  <c r="Q35" i="97"/>
  <c r="R35" i="97" s="1"/>
  <c r="E36" i="97"/>
  <c r="F36" i="97" s="1"/>
  <c r="O36" i="97"/>
  <c r="Q37" i="97"/>
  <c r="R37" i="97" s="1"/>
  <c r="AC37" i="97"/>
  <c r="AD37" i="97" s="1"/>
  <c r="O38" i="97"/>
  <c r="E38" i="97"/>
  <c r="F38" i="97" s="1"/>
  <c r="AC39" i="97"/>
  <c r="AD39" i="97" s="1"/>
  <c r="Q39" i="97"/>
  <c r="R39" i="97" s="1"/>
  <c r="BV42" i="97"/>
  <c r="O43" i="97"/>
  <c r="F43" i="97"/>
  <c r="O44" i="97"/>
  <c r="E44" i="97"/>
  <c r="F44" i="97" s="1"/>
  <c r="Q45" i="97"/>
  <c r="R45" i="97" s="1"/>
  <c r="AC45" i="97"/>
  <c r="E51" i="97"/>
  <c r="F51" i="97" s="1"/>
  <c r="E53" i="97"/>
  <c r="F53" i="97" s="1"/>
  <c r="AC54" i="97"/>
  <c r="AC56" i="97"/>
  <c r="AD56" i="97" s="1"/>
  <c r="Q56" i="97"/>
  <c r="R56" i="97" s="1"/>
  <c r="AC58" i="97"/>
  <c r="Q58" i="97"/>
  <c r="AC62" i="97"/>
  <c r="AD62" i="97" s="1"/>
  <c r="Q62" i="97"/>
  <c r="R62" i="97" s="1"/>
  <c r="BO62" i="97" s="1"/>
  <c r="CF62" i="97" s="1"/>
  <c r="AC66" i="97"/>
  <c r="AD66" i="97" s="1"/>
  <c r="Q66" i="97"/>
  <c r="R66" i="97" s="1"/>
  <c r="BO66" i="97" s="1"/>
  <c r="CF66" i="97" s="1"/>
  <c r="AC71" i="97"/>
  <c r="Q71" i="97"/>
  <c r="R71" i="97" s="1"/>
  <c r="AC75" i="97"/>
  <c r="Q75" i="97"/>
  <c r="R75" i="97" s="1"/>
  <c r="F8" i="97"/>
  <c r="E20" i="96"/>
  <c r="CH14" i="97"/>
  <c r="AP19" i="97"/>
  <c r="AS45" i="97"/>
  <c r="CH46" i="97"/>
  <c r="AC72" i="97"/>
  <c r="AD72" i="97" s="1"/>
  <c r="AP25" i="97"/>
  <c r="CH41" i="97"/>
  <c r="F41" i="99"/>
  <c r="CH58" i="97"/>
  <c r="E58" i="100"/>
  <c r="CH13" i="97"/>
  <c r="F10" i="99"/>
  <c r="CH10" i="97"/>
  <c r="F17" i="99"/>
  <c r="F25" i="99"/>
  <c r="CH25" i="97"/>
  <c r="F29" i="99"/>
  <c r="CH29" i="97"/>
  <c r="AS31" i="97"/>
  <c r="AP40" i="97"/>
  <c r="F43" i="99"/>
  <c r="CH43" i="97"/>
  <c r="F49" i="99"/>
  <c r="CH49" i="97"/>
  <c r="CH55" i="97"/>
  <c r="F55" i="99"/>
  <c r="F72" i="99"/>
  <c r="CH72" i="97"/>
  <c r="W104" i="85"/>
  <c r="AI8" i="97"/>
  <c r="AJ8" i="97" s="1"/>
  <c r="I8" i="97"/>
  <c r="O12" i="97"/>
  <c r="E12" i="97"/>
  <c r="F12" i="97" s="1"/>
  <c r="AI12" i="97"/>
  <c r="AJ12" i="97" s="1"/>
  <c r="H12" i="97"/>
  <c r="I12" i="97" s="1"/>
  <c r="AC15" i="97"/>
  <c r="AD15" i="97" s="1"/>
  <c r="Q15" i="97"/>
  <c r="R15" i="97" s="1"/>
  <c r="O16" i="97"/>
  <c r="E16" i="97"/>
  <c r="F16" i="97" s="1"/>
  <c r="H16" i="97"/>
  <c r="I16" i="97" s="1"/>
  <c r="AI16" i="97"/>
  <c r="AJ16" i="97" s="1"/>
  <c r="O20" i="97"/>
  <c r="E20" i="97"/>
  <c r="F20" i="97" s="1"/>
  <c r="AC25" i="97"/>
  <c r="AC27" i="97"/>
  <c r="AD27" i="97" s="1"/>
  <c r="Q27" i="97"/>
  <c r="R27" i="97" s="1"/>
  <c r="O28" i="97"/>
  <c r="E28" i="97"/>
  <c r="F28" i="97" s="1"/>
  <c r="AI31" i="97"/>
  <c r="AJ31" i="97" s="1"/>
  <c r="H31" i="97"/>
  <c r="I31" i="97" s="1"/>
  <c r="O34" i="97"/>
  <c r="E34" i="97"/>
  <c r="F34" i="97" s="1"/>
  <c r="H34" i="97"/>
  <c r="I34" i="97" s="1"/>
  <c r="AI34" i="97"/>
  <c r="AJ34" i="97" s="1"/>
  <c r="AC36" i="97"/>
  <c r="Q36" i="97"/>
  <c r="R36" i="97" s="1"/>
  <c r="Q38" i="97"/>
  <c r="R38" i="97" s="1"/>
  <c r="AC38" i="97"/>
  <c r="Q40" i="97"/>
  <c r="R40" i="97" s="1"/>
  <c r="AC40" i="97"/>
  <c r="O41" i="97"/>
  <c r="E41" i="97"/>
  <c r="F41" i="97" s="1"/>
  <c r="AI41" i="97"/>
  <c r="AJ41" i="97" s="1"/>
  <c r="I41" i="97"/>
  <c r="Q44" i="97"/>
  <c r="R44" i="97" s="1"/>
  <c r="AC44" i="97"/>
  <c r="AD44" i="97" s="1"/>
  <c r="E46" i="97"/>
  <c r="F46" i="97" s="1"/>
  <c r="AC49" i="97"/>
  <c r="Q49" i="97"/>
  <c r="R49" i="97" s="1"/>
  <c r="E50" i="97"/>
  <c r="F50" i="97" s="1"/>
  <c r="AC51" i="97"/>
  <c r="AD51" i="97" s="1"/>
  <c r="Q51" i="97"/>
  <c r="R51" i="97" s="1"/>
  <c r="Q55" i="97"/>
  <c r="R55" i="97" s="1"/>
  <c r="AC55" i="97"/>
  <c r="AD55" i="97" s="1"/>
  <c r="Q63" i="97"/>
  <c r="R63" i="97" s="1"/>
  <c r="AC63" i="97"/>
  <c r="AD63" i="97" s="1"/>
  <c r="AC67" i="97"/>
  <c r="AD67" i="97" s="1"/>
  <c r="Q67" i="97"/>
  <c r="R67" i="97" s="1"/>
  <c r="AC76" i="97"/>
  <c r="AD76" i="97" s="1"/>
  <c r="Q76" i="97"/>
  <c r="R76" i="97" s="1"/>
  <c r="AC78" i="97"/>
  <c r="AD78" i="97" s="1"/>
  <c r="AC74" i="97"/>
  <c r="AS8" i="97"/>
  <c r="E21" i="96"/>
  <c r="H11" i="97"/>
  <c r="I11" i="97" s="1"/>
  <c r="AS16" i="97"/>
  <c r="Q18" i="97"/>
  <c r="R18" i="97" s="1"/>
  <c r="AP22" i="97"/>
  <c r="AC29" i="97"/>
  <c r="AP30" i="97"/>
  <c r="E32" i="97"/>
  <c r="F32" i="97" s="1"/>
  <c r="AI32" i="97"/>
  <c r="AJ32" i="97" s="1"/>
  <c r="AC34" i="97"/>
  <c r="AD34" i="97" s="1"/>
  <c r="AP43" i="97"/>
  <c r="Q53" i="97"/>
  <c r="R53" i="97" s="1"/>
  <c r="F24" i="99"/>
  <c r="CH24" i="97"/>
  <c r="F30" i="99"/>
  <c r="CH30" i="97"/>
  <c r="F42" i="99"/>
  <c r="CH42" i="97"/>
  <c r="E56" i="100"/>
  <c r="CH56" i="97"/>
  <c r="F70" i="99"/>
  <c r="CH70" i="97"/>
  <c r="AC20" i="97"/>
  <c r="O21" i="97"/>
  <c r="E21" i="97"/>
  <c r="F21" i="97" s="1"/>
  <c r="AI21" i="97"/>
  <c r="AJ21" i="97" s="1"/>
  <c r="H21" i="97"/>
  <c r="I21" i="97" s="1"/>
  <c r="AC26" i="97"/>
  <c r="AD26" i="97" s="1"/>
  <c r="AC28" i="97"/>
  <c r="Q28" i="97"/>
  <c r="R28" i="97" s="1"/>
  <c r="AC41" i="97"/>
  <c r="Q41" i="97"/>
  <c r="R41" i="97" s="1"/>
  <c r="AI42" i="97"/>
  <c r="AJ42" i="97" s="1"/>
  <c r="I42" i="97"/>
  <c r="Q43" i="97"/>
  <c r="R43" i="97" s="1"/>
  <c r="AC50" i="97"/>
  <c r="AD50" i="97" s="1"/>
  <c r="Q50" i="97"/>
  <c r="R50" i="97" s="1"/>
  <c r="AC52" i="97"/>
  <c r="Q60" i="97"/>
  <c r="R60" i="97" s="1"/>
  <c r="Q64" i="97"/>
  <c r="R64" i="97" s="1"/>
  <c r="AC68" i="97"/>
  <c r="AD68" i="97" s="1"/>
  <c r="Q68" i="97"/>
  <c r="R68" i="97" s="1"/>
  <c r="AC69" i="97"/>
  <c r="AD69" i="97" s="1"/>
  <c r="Q69" i="97"/>
  <c r="R69" i="97" s="1"/>
  <c r="Q73" i="97"/>
  <c r="R73" i="97" s="1"/>
  <c r="Q77" i="97"/>
  <c r="R77" i="97" s="1"/>
  <c r="AC77" i="97"/>
  <c r="AD77" i="97" s="1"/>
  <c r="F33" i="96"/>
  <c r="E10" i="96"/>
  <c r="D10" i="96"/>
  <c r="D33" i="96"/>
  <c r="D11" i="96"/>
  <c r="H10" i="97"/>
  <c r="I10" i="97" s="1"/>
  <c r="Q12" i="97"/>
  <c r="R12" i="97" s="1"/>
  <c r="E13" i="97"/>
  <c r="F13" i="97" s="1"/>
  <c r="AI14" i="97"/>
  <c r="AJ14" i="97" s="1"/>
  <c r="AS14" i="97"/>
  <c r="CH15" i="97"/>
  <c r="Q16" i="97"/>
  <c r="R16" i="97" s="1"/>
  <c r="E17" i="97"/>
  <c r="F17" i="97" s="1"/>
  <c r="Q17" i="97"/>
  <c r="R17" i="97" s="1"/>
  <c r="AS18" i="97"/>
  <c r="H23" i="97"/>
  <c r="I23" i="97" s="1"/>
  <c r="AI30" i="97"/>
  <c r="AJ30" i="97" s="1"/>
  <c r="AP33" i="97"/>
  <c r="AS34" i="97"/>
  <c r="AP35" i="97"/>
  <c r="AI38" i="97"/>
  <c r="AJ38" i="97" s="1"/>
  <c r="AS38" i="97"/>
  <c r="CH40" i="97"/>
  <c r="AS43" i="97"/>
  <c r="AS50" i="97"/>
  <c r="AP56" i="97"/>
  <c r="AP58" i="97"/>
  <c r="AP70" i="97"/>
  <c r="AP73" i="97"/>
  <c r="AP77" i="97"/>
  <c r="F12" i="99"/>
  <c r="F35" i="99"/>
  <c r="F16" i="99"/>
  <c r="CH16" i="97"/>
  <c r="F19" i="99"/>
  <c r="F22" i="99"/>
  <c r="CH22" i="97"/>
  <c r="F33" i="99"/>
  <c r="E45" i="100"/>
  <c r="F48" i="99"/>
  <c r="F50" i="99"/>
  <c r="CH50" i="97"/>
  <c r="F53" i="99"/>
  <c r="CH53" i="97"/>
  <c r="CH57" i="97"/>
  <c r="F57" i="99"/>
  <c r="CH71" i="97"/>
  <c r="F71" i="99"/>
  <c r="AC21" i="97"/>
  <c r="AD21" i="97" s="1"/>
  <c r="AC23" i="97"/>
  <c r="E30" i="97"/>
  <c r="F30" i="97" s="1"/>
  <c r="O30" i="97"/>
  <c r="AC31" i="97"/>
  <c r="Q31" i="97"/>
  <c r="R31" i="97" s="1"/>
  <c r="AC33" i="97"/>
  <c r="AD33" i="97" s="1"/>
  <c r="Q33" i="97"/>
  <c r="R33" i="97" s="1"/>
  <c r="E13" i="96"/>
  <c r="BV34" i="97"/>
  <c r="D34" i="96" s="1"/>
  <c r="O39" i="97"/>
  <c r="E39" i="97"/>
  <c r="F39" i="97" s="1"/>
  <c r="AC42" i="97"/>
  <c r="AC43" i="97"/>
  <c r="AD43" i="97" s="1"/>
  <c r="AC47" i="97"/>
  <c r="Q47" i="97"/>
  <c r="R47" i="97" s="1"/>
  <c r="E54" i="97"/>
  <c r="F54" i="97" s="1"/>
  <c r="AI54" i="97"/>
  <c r="AJ54" i="97" s="1"/>
  <c r="I54" i="97"/>
  <c r="AC57" i="97"/>
  <c r="R59" i="97"/>
  <c r="AC59" i="97"/>
  <c r="AC61" i="97"/>
  <c r="AD61" i="97" s="1"/>
  <c r="Q61" i="97"/>
  <c r="R61" i="97" s="1"/>
  <c r="BO61" i="97" s="1"/>
  <c r="CF61" i="97" s="1"/>
  <c r="AC65" i="97"/>
  <c r="AD65" i="97" s="1"/>
  <c r="Q74" i="97"/>
  <c r="R74" i="97" s="1"/>
  <c r="Q78" i="97"/>
  <c r="R78" i="97" s="1"/>
  <c r="Q8" i="97"/>
  <c r="R8" i="97" s="1"/>
  <c r="G76" i="1"/>
  <c r="CH8" i="97"/>
  <c r="AP12" i="97"/>
  <c r="AP16" i="97"/>
  <c r="AS19" i="97"/>
  <c r="O22" i="97"/>
  <c r="O24" i="97"/>
  <c r="AS33" i="97"/>
  <c r="AP39" i="97"/>
  <c r="AS40" i="97"/>
  <c r="AP41" i="97"/>
  <c r="AS47" i="97"/>
  <c r="Q52" i="97"/>
  <c r="R52" i="97" s="1"/>
  <c r="AP55" i="97"/>
  <c r="AS56" i="97"/>
  <c r="AS57" i="97"/>
  <c r="F47" i="99"/>
  <c r="AP29" i="97"/>
  <c r="AP31" i="97"/>
  <c r="AP48" i="97"/>
  <c r="AP59" i="97"/>
  <c r="AP72" i="97"/>
  <c r="AP76" i="97"/>
  <c r="AS78" i="97"/>
  <c r="AS15" i="97"/>
  <c r="AP26" i="97"/>
  <c r="AS35" i="97"/>
  <c r="AP44" i="97"/>
  <c r="AS59" i="97"/>
  <c r="AS70" i="97"/>
  <c r="AS74" i="97"/>
  <c r="AS76" i="97"/>
  <c r="AP50" i="97"/>
  <c r="AS52" i="97"/>
  <c r="J76" i="1"/>
  <c r="AD59" i="97" l="1"/>
  <c r="D16" i="96"/>
  <c r="BO9" i="97"/>
  <c r="CF9" i="97" s="1"/>
  <c r="BO27" i="97"/>
  <c r="CF27" i="97" s="1"/>
  <c r="BO67" i="97"/>
  <c r="CF67" i="97" s="1"/>
  <c r="E67" i="99" s="1"/>
  <c r="BO68" i="97"/>
  <c r="CF68" i="97" s="1"/>
  <c r="E68" i="99" s="1"/>
  <c r="BO37" i="97"/>
  <c r="E16" i="96"/>
  <c r="BO72" i="97"/>
  <c r="BO14" i="97"/>
  <c r="BO18" i="97"/>
  <c r="F9" i="1"/>
  <c r="F76" i="1" s="1"/>
  <c r="E31" i="96"/>
  <c r="BO33" i="97"/>
  <c r="CF33" i="97" s="1"/>
  <c r="BO35" i="97"/>
  <c r="BO70" i="97"/>
  <c r="CF70" i="97" s="1"/>
  <c r="BO15" i="97"/>
  <c r="BO19" i="97"/>
  <c r="BO43" i="97"/>
  <c r="CF43" i="97" s="1"/>
  <c r="E43" i="99" s="1"/>
  <c r="BO44" i="97"/>
  <c r="BO51" i="97"/>
  <c r="CF51" i="97" s="1"/>
  <c r="BO56" i="97"/>
  <c r="CF56" i="97" s="1"/>
  <c r="E56" i="99" s="1"/>
  <c r="BO8" i="97"/>
  <c r="BO39" i="97"/>
  <c r="CF39" i="97" s="1"/>
  <c r="BO78" i="97"/>
  <c r="BO12" i="97"/>
  <c r="BO16" i="97"/>
  <c r="BO34" i="97"/>
  <c r="CF34" i="97" s="1"/>
  <c r="BO46" i="97"/>
  <c r="CF46" i="97" s="1"/>
  <c r="BO50" i="97"/>
  <c r="CF50" i="97" s="1"/>
  <c r="BO63" i="97"/>
  <c r="CF63" i="97" s="1"/>
  <c r="BO76" i="97"/>
  <c r="BO21" i="97"/>
  <c r="CF21" i="97" s="1"/>
  <c r="BO60" i="97"/>
  <c r="BO64" i="97"/>
  <c r="CF64" i="97" s="1"/>
  <c r="BO59" i="97"/>
  <c r="BO55" i="97"/>
  <c r="CF55" i="97" s="1"/>
  <c r="E55" i="99" s="1"/>
  <c r="BO26" i="97"/>
  <c r="CF26" i="97" s="1"/>
  <c r="K26" i="1" s="1"/>
  <c r="BO69" i="97"/>
  <c r="CF69" i="97" s="1"/>
  <c r="E69" i="99" s="1"/>
  <c r="BO77" i="97"/>
  <c r="BO13" i="97"/>
  <c r="E13" i="1" s="1"/>
  <c r="BO17" i="97"/>
  <c r="K77" i="1"/>
  <c r="K79" i="1"/>
  <c r="K78" i="1"/>
  <c r="AD71" i="97"/>
  <c r="BO71" i="97" s="1"/>
  <c r="CF71" i="97" s="1"/>
  <c r="R65" i="97"/>
  <c r="BO65" i="97" s="1"/>
  <c r="CF65" i="97" s="1"/>
  <c r="E9" i="96"/>
  <c r="F50" i="96"/>
  <c r="D9" i="96"/>
  <c r="AD29" i="97"/>
  <c r="BO29" i="97" s="1"/>
  <c r="CF29" i="97" s="1"/>
  <c r="AD24" i="97"/>
  <c r="BO24" i="97" s="1"/>
  <c r="CF24" i="97" s="1"/>
  <c r="AD53" i="97"/>
  <c r="BO53" i="97" s="1"/>
  <c r="CF53" i="97" s="1"/>
  <c r="D12" i="96"/>
  <c r="AD47" i="97"/>
  <c r="BO47" i="97" s="1"/>
  <c r="AD73" i="97"/>
  <c r="BO73" i="97" s="1"/>
  <c r="CF73" i="97" s="1"/>
  <c r="AD11" i="97"/>
  <c r="BO11" i="97" s="1"/>
  <c r="E11" i="1" s="1"/>
  <c r="AD31" i="97"/>
  <c r="BO31" i="97" s="1"/>
  <c r="AD74" i="97"/>
  <c r="BO74" i="97" s="1"/>
  <c r="E74" i="100"/>
  <c r="AD38" i="97"/>
  <c r="BO38" i="97" s="1"/>
  <c r="E66" i="99"/>
  <c r="E62" i="1"/>
  <c r="AD48" i="97"/>
  <c r="BO48" i="97" s="1"/>
  <c r="CF48" i="97" s="1"/>
  <c r="AD52" i="97"/>
  <c r="BO52" i="97" s="1"/>
  <c r="CF52" i="97" s="1"/>
  <c r="AD32" i="97"/>
  <c r="AD36" i="97"/>
  <c r="BO36" i="97" s="1"/>
  <c r="CF36" i="97" s="1"/>
  <c r="AD25" i="97"/>
  <c r="BO25" i="97" s="1"/>
  <c r="CF25" i="97" s="1"/>
  <c r="AD30" i="97"/>
  <c r="BO30" i="97" s="1"/>
  <c r="CF30" i="97" s="1"/>
  <c r="AD22" i="97"/>
  <c r="BO22" i="97" s="1"/>
  <c r="CF22" i="97" s="1"/>
  <c r="AD41" i="97"/>
  <c r="BO41" i="97" s="1"/>
  <c r="AD42" i="97"/>
  <c r="AD49" i="97"/>
  <c r="AD75" i="97"/>
  <c r="BO75" i="97" s="1"/>
  <c r="R58" i="97"/>
  <c r="AD57" i="97"/>
  <c r="BO57" i="97" s="1"/>
  <c r="CF57" i="97" s="1"/>
  <c r="AD45" i="97"/>
  <c r="BO45" i="97" s="1"/>
  <c r="CF45" i="97" s="1"/>
  <c r="B84" i="99"/>
  <c r="E11" i="96"/>
  <c r="AD23" i="97"/>
  <c r="AD28" i="97"/>
  <c r="AD20" i="97"/>
  <c r="BO20" i="97" s="1"/>
  <c r="AD40" i="97"/>
  <c r="BO40" i="97" s="1"/>
  <c r="CF40" i="97" s="1"/>
  <c r="AD58" i="97"/>
  <c r="AD54" i="97"/>
  <c r="BO54" i="97" s="1"/>
  <c r="CF54" i="97" s="1"/>
  <c r="F73" i="99"/>
  <c r="CF59" i="97" l="1"/>
  <c r="E43" i="96" s="1"/>
  <c r="E7" i="96"/>
  <c r="E37" i="1"/>
  <c r="CF37" i="97"/>
  <c r="K37" i="1" s="1"/>
  <c r="E72" i="1"/>
  <c r="CF72" i="97"/>
  <c r="E72" i="99" s="1"/>
  <c r="E35" i="1"/>
  <c r="CF35" i="97"/>
  <c r="K35" i="1" s="1"/>
  <c r="E44" i="1"/>
  <c r="CF44" i="97"/>
  <c r="E44" i="99" s="1"/>
  <c r="E60" i="1"/>
  <c r="CF60" i="97"/>
  <c r="E60" i="99" s="1"/>
  <c r="E47" i="1"/>
  <c r="CF47" i="97"/>
  <c r="K47" i="1" s="1"/>
  <c r="E31" i="1"/>
  <c r="CF31" i="97"/>
  <c r="K31" i="1" s="1"/>
  <c r="E38" i="1"/>
  <c r="CF38" i="97"/>
  <c r="E41" i="1"/>
  <c r="CF41" i="97"/>
  <c r="K41" i="1" s="1"/>
  <c r="D32" i="100"/>
  <c r="BO32" i="97"/>
  <c r="CF32" i="97" s="1"/>
  <c r="D42" i="100"/>
  <c r="BO42" i="97"/>
  <c r="CF42" i="97" s="1"/>
  <c r="D49" i="100"/>
  <c r="BO49" i="97"/>
  <c r="CF49" i="97" s="1"/>
  <c r="E12" i="96"/>
  <c r="BO58" i="97"/>
  <c r="CF58" i="97" s="1"/>
  <c r="E58" i="99" s="1"/>
  <c r="D23" i="100"/>
  <c r="BO23" i="97"/>
  <c r="CF23" i="97" s="1"/>
  <c r="D28" i="100"/>
  <c r="BO28" i="97"/>
  <c r="CF28" i="97" s="1"/>
  <c r="E9" i="1"/>
  <c r="E64" i="1"/>
  <c r="E63" i="1"/>
  <c r="K62" i="1"/>
  <c r="D62" i="100"/>
  <c r="E61" i="1"/>
  <c r="D61" i="100"/>
  <c r="E48" i="1"/>
  <c r="D48" i="100"/>
  <c r="F51" i="100"/>
  <c r="D51" i="100"/>
  <c r="E24" i="1"/>
  <c r="D24" i="100"/>
  <c r="E33" i="99"/>
  <c r="D33" i="100"/>
  <c r="E53" i="1"/>
  <c r="D53" i="100"/>
  <c r="E52" i="1"/>
  <c r="D52" i="100"/>
  <c r="F50" i="100"/>
  <c r="D50" i="100"/>
  <c r="E12" i="1"/>
  <c r="E43" i="1"/>
  <c r="E26" i="99"/>
  <c r="E18" i="1"/>
  <c r="E50" i="1"/>
  <c r="K56" i="1"/>
  <c r="F56" i="100"/>
  <c r="D56" i="100"/>
  <c r="E56" i="1"/>
  <c r="E29" i="1"/>
  <c r="E27" i="1"/>
  <c r="K74" i="1"/>
  <c r="E74" i="1"/>
  <c r="K43" i="1"/>
  <c r="E14" i="1"/>
  <c r="E55" i="1"/>
  <c r="K13" i="1"/>
  <c r="E36" i="1"/>
  <c r="E22" i="99"/>
  <c r="K22" i="1"/>
  <c r="K55" i="1"/>
  <c r="E8" i="1"/>
  <c r="E22" i="1"/>
  <c r="K11" i="1"/>
  <c r="E26" i="1"/>
  <c r="E33" i="1"/>
  <c r="E30" i="1"/>
  <c r="F53" i="100"/>
  <c r="F52" i="100"/>
  <c r="E40" i="1"/>
  <c r="E57" i="1"/>
  <c r="E75" i="1"/>
  <c r="K75" i="1"/>
  <c r="E46" i="1"/>
  <c r="D46" i="100"/>
  <c r="E46" i="99"/>
  <c r="E20" i="1"/>
  <c r="K29" i="1"/>
  <c r="E29" i="99"/>
  <c r="K27" i="1"/>
  <c r="E27" i="99"/>
  <c r="E17" i="1"/>
  <c r="E25" i="1"/>
  <c r="K18" i="1"/>
  <c r="E18" i="99"/>
  <c r="E19" i="1"/>
  <c r="E73" i="1"/>
  <c r="K73" i="1"/>
  <c r="E51" i="1"/>
  <c r="K12" i="1"/>
  <c r="E12" i="99"/>
  <c r="E70" i="1"/>
  <c r="E34" i="1"/>
  <c r="E39" i="1"/>
  <c r="E16" i="1"/>
  <c r="E71" i="1"/>
  <c r="K8" i="1"/>
  <c r="E8" i="99"/>
  <c r="E54" i="1"/>
  <c r="E15" i="1"/>
  <c r="E21" i="1"/>
  <c r="K14" i="1"/>
  <c r="E14" i="99"/>
  <c r="E42" i="96" l="1"/>
  <c r="E30" i="96"/>
  <c r="A44" i="96" s="1"/>
  <c r="B44" i="96" s="1"/>
  <c r="H45" i="96" s="1"/>
  <c r="H48" i="96" s="1"/>
  <c r="E32" i="1"/>
  <c r="E42" i="1"/>
  <c r="E49" i="1"/>
  <c r="E23" i="1"/>
  <c r="E28" i="1"/>
  <c r="E9" i="99"/>
  <c r="E65" i="99"/>
  <c r="E65" i="1"/>
  <c r="E63" i="99"/>
  <c r="K63" i="1"/>
  <c r="E64" i="99"/>
  <c r="K64" i="1"/>
  <c r="E62" i="99"/>
  <c r="F62" i="100"/>
  <c r="K61" i="1"/>
  <c r="F61" i="100"/>
  <c r="K48" i="1"/>
  <c r="F48" i="100"/>
  <c r="F32" i="100"/>
  <c r="K33" i="1"/>
  <c r="F33" i="100"/>
  <c r="E24" i="99"/>
  <c r="F24" i="100"/>
  <c r="E50" i="99"/>
  <c r="K50" i="1"/>
  <c r="F52" i="96"/>
  <c r="K72" i="1"/>
  <c r="K60" i="1"/>
  <c r="E37" i="99"/>
  <c r="E47" i="99"/>
  <c r="E61" i="99"/>
  <c r="E48" i="99"/>
  <c r="E35" i="99"/>
  <c r="K9" i="1"/>
  <c r="E13" i="99"/>
  <c r="K44" i="1"/>
  <c r="E41" i="99"/>
  <c r="K24" i="1"/>
  <c r="E31" i="99"/>
  <c r="D58" i="100"/>
  <c r="K36" i="1"/>
  <c r="E36" i="99"/>
  <c r="E11" i="99"/>
  <c r="E58" i="1"/>
  <c r="E53" i="99"/>
  <c r="K53" i="1"/>
  <c r="K38" i="1"/>
  <c r="E38" i="99"/>
  <c r="K52" i="1"/>
  <c r="E52" i="99"/>
  <c r="E30" i="99"/>
  <c r="K30" i="1"/>
  <c r="K20" i="1"/>
  <c r="E20" i="99"/>
  <c r="D59" i="100"/>
  <c r="E59" i="1"/>
  <c r="E59" i="99"/>
  <c r="K54" i="1"/>
  <c r="E54" i="99"/>
  <c r="K70" i="1"/>
  <c r="E70" i="99"/>
  <c r="E19" i="99"/>
  <c r="K19" i="1"/>
  <c r="E45" i="99"/>
  <c r="D45" i="100"/>
  <c r="E45" i="1"/>
  <c r="K57" i="1"/>
  <c r="E57" i="99"/>
  <c r="K21" i="1"/>
  <c r="E21" i="99"/>
  <c r="K15" i="1"/>
  <c r="E15" i="99"/>
  <c r="K25" i="1"/>
  <c r="E25" i="99"/>
  <c r="E17" i="99"/>
  <c r="K17" i="1"/>
  <c r="K46" i="1"/>
  <c r="F46" i="100"/>
  <c r="K40" i="1"/>
  <c r="E40" i="99"/>
  <c r="K71" i="1"/>
  <c r="E71" i="99"/>
  <c r="K16" i="1"/>
  <c r="E16" i="99"/>
  <c r="K39" i="1"/>
  <c r="E39" i="99"/>
  <c r="E34" i="99"/>
  <c r="K34" i="1"/>
  <c r="K51" i="1"/>
  <c r="E51" i="99"/>
  <c r="F58" i="100"/>
  <c r="K58" i="1"/>
  <c r="E32" i="99" l="1"/>
  <c r="K32" i="1"/>
  <c r="F42" i="100"/>
  <c r="K42" i="1"/>
  <c r="E42" i="99"/>
  <c r="F49" i="100"/>
  <c r="K49" i="1"/>
  <c r="E49" i="99"/>
  <c r="F23" i="100"/>
  <c r="K23" i="1"/>
  <c r="E23" i="99"/>
  <c r="F28" i="100"/>
  <c r="K28" i="1"/>
  <c r="E28" i="99"/>
  <c r="J45" i="96"/>
  <c r="J48" i="96" s="1"/>
  <c r="F45" i="96"/>
  <c r="F47" i="96" s="1"/>
  <c r="N45" i="96"/>
  <c r="N48" i="96" s="1"/>
  <c r="G45" i="96"/>
  <c r="G48" i="96" s="1"/>
  <c r="I45" i="96"/>
  <c r="I47" i="96" s="1"/>
  <c r="M45" i="96"/>
  <c r="M47" i="96" s="1"/>
  <c r="O45" i="96"/>
  <c r="O47" i="96" s="1"/>
  <c r="K45" i="96"/>
  <c r="K48" i="96" s="1"/>
  <c r="E45" i="96"/>
  <c r="E48" i="96" s="1"/>
  <c r="L45" i="96"/>
  <c r="D45" i="96"/>
  <c r="D48" i="96" s="1"/>
  <c r="D74" i="100"/>
  <c r="K59" i="1"/>
  <c r="F59" i="100"/>
  <c r="F45" i="100"/>
  <c r="K45" i="1"/>
  <c r="M46" i="96" l="1"/>
  <c r="L47" i="96"/>
  <c r="J46" i="96"/>
  <c r="M48" i="96"/>
  <c r="H47" i="96"/>
  <c r="J47" i="96"/>
  <c r="N47" i="96"/>
  <c r="G47" i="96"/>
  <c r="D47" i="96"/>
  <c r="D46" i="96"/>
  <c r="E46" i="96"/>
  <c r="I46" i="96"/>
  <c r="I48" i="96" s="1"/>
  <c r="F46" i="96"/>
  <c r="F48" i="96" s="1"/>
  <c r="G46" i="96"/>
  <c r="N46" i="96"/>
  <c r="O46" i="96"/>
  <c r="L46" i="96"/>
  <c r="L48" i="96" s="1"/>
  <c r="H46" i="96"/>
  <c r="K47" i="96"/>
  <c r="E47" i="96"/>
  <c r="K46" i="96"/>
  <c r="F74" i="100"/>
  <c r="M78" i="1" s="1"/>
  <c r="B49" i="96" l="1"/>
  <c r="G10" i="87"/>
  <c r="AF10" i="97" l="1"/>
  <c r="AG10" i="97" s="1"/>
  <c r="H10" i="87"/>
  <c r="J10" i="87"/>
  <c r="K10" i="97" s="1"/>
  <c r="L10" i="97" s="1"/>
  <c r="AL10" i="97"/>
  <c r="AM10" i="97" s="1"/>
  <c r="AC10" i="97" l="1"/>
  <c r="AD10" i="97" s="1"/>
  <c r="Q10" i="97"/>
  <c r="R10" i="97" s="1"/>
  <c r="O10" i="97"/>
  <c r="E10" i="97"/>
  <c r="F10" i="97" s="1"/>
  <c r="BO10" i="97" l="1"/>
  <c r="E10" i="1" l="1"/>
  <c r="E76" i="1" s="1"/>
  <c r="E10" i="99" l="1"/>
  <c r="K10" i="1"/>
  <c r="K76" i="1" l="1"/>
  <c r="K80" i="1" s="1"/>
  <c r="E73" i="99"/>
  <c r="M77" i="1" s="1"/>
  <c r="M76" i="1" s="1"/>
</calcChain>
</file>

<file path=xl/sharedStrings.xml><?xml version="1.0" encoding="utf-8"?>
<sst xmlns="http://schemas.openxmlformats.org/spreadsheetml/2006/main" count="763" uniqueCount="379">
  <si>
    <t>Họ và Tên</t>
  </si>
  <si>
    <t>Lê Thành Trung</t>
  </si>
  <si>
    <t>Nguyễn Được Thưởng</t>
  </si>
  <si>
    <t>Tổng cộng</t>
  </si>
  <si>
    <t>Lê Đức Trọng</t>
  </si>
  <si>
    <t>Thực Lãnh</t>
  </si>
  <si>
    <t>CÔNG TY TNHH MTV VINH VINH PHÁT</t>
  </si>
  <si>
    <t>Stt</t>
  </si>
  <si>
    <t>Mã NV</t>
  </si>
  <si>
    <t>Các khoản giảm trừ</t>
  </si>
  <si>
    <t>Ghi chú</t>
  </si>
  <si>
    <t>Bộ phận</t>
  </si>
  <si>
    <t>Kho</t>
  </si>
  <si>
    <t>Khuôn</t>
  </si>
  <si>
    <t>QA-QC</t>
  </si>
  <si>
    <t>Người Lập</t>
  </si>
  <si>
    <t>Giám Đốc</t>
  </si>
  <si>
    <t>Tổng lương</t>
  </si>
  <si>
    <t>Võ Duy Thanh</t>
  </si>
  <si>
    <t>Phan Thành Triệu</t>
  </si>
  <si>
    <t>TC</t>
  </si>
  <si>
    <t>Sản xuất</t>
  </si>
  <si>
    <t>Nguyễn Thị Bé Năm</t>
  </si>
  <si>
    <t>Nguyễn Thị Sang</t>
  </si>
  <si>
    <t>đồng.</t>
  </si>
  <si>
    <t>Phụ cấp đêm</t>
  </si>
  <si>
    <t>- Bộ phận :</t>
  </si>
  <si>
    <t>Diễn giải</t>
  </si>
  <si>
    <t>I</t>
  </si>
  <si>
    <t>II</t>
  </si>
  <si>
    <t>III</t>
  </si>
  <si>
    <t>Thực nhận tiền lương :</t>
  </si>
  <si>
    <t>Các khoản giảm trừ :</t>
  </si>
  <si>
    <t>Số giờ chính</t>
  </si>
  <si>
    <t>Tạm ứng</t>
  </si>
  <si>
    <t>Phan Hiệp Thành Danh</t>
  </si>
  <si>
    <t>Tên nhân viên</t>
  </si>
  <si>
    <t>Kỹ thuật</t>
  </si>
  <si>
    <t>Nguyễn Thị Huế Trân</t>
  </si>
  <si>
    <t>Nguyễn Thị Liến</t>
  </si>
  <si>
    <t>Nguyễn Thùy Trang</t>
  </si>
  <si>
    <t>Trần Phi Long</t>
  </si>
  <si>
    <t>Ngoại Quan</t>
  </si>
  <si>
    <t>Nguyễn Tấn Nghĩa</t>
  </si>
  <si>
    <t>Chuyên cần</t>
  </si>
  <si>
    <t>Trách nhiệm</t>
  </si>
  <si>
    <t>Phụ cấp khác</t>
  </si>
  <si>
    <t>Tiền giới thiệu người</t>
  </si>
  <si>
    <t>Số ngày tăng ca</t>
  </si>
  <si>
    <t>Phan Thị Ngọc Hân</t>
  </si>
  <si>
    <t>Võ Minh Hiếu</t>
  </si>
  <si>
    <t>Lê Thị Kim Chi</t>
  </si>
  <si>
    <t>Nguyễn Thị Ngọc Linh</t>
  </si>
  <si>
    <t>Phạm Thị Kim Huệ</t>
  </si>
  <si>
    <t>Nguyễn Thị Diễm Mi</t>
  </si>
  <si>
    <t>Đoàn Hữu Duy Linh</t>
  </si>
  <si>
    <t>Hồ Thị Ngọc Hiền</t>
  </si>
  <si>
    <t>Nguyễn Duy Linh</t>
  </si>
  <si>
    <t>Lê Thị Kim Thoa</t>
  </si>
  <si>
    <t>Phan Thị Thúy Hằng</t>
  </si>
  <si>
    <t>Số giờ tăng ca</t>
  </si>
  <si>
    <t>Lương tăng ca</t>
  </si>
  <si>
    <t>Phụ cấp tăng ca</t>
  </si>
  <si>
    <t>Thực lãnh</t>
  </si>
  <si>
    <t>Số ngày lễ tết</t>
  </si>
  <si>
    <t>Lỗi nặng</t>
  </si>
  <si>
    <t>Số công đêm</t>
  </si>
  <si>
    <t>Huỳnh Thị Cẩm Tú</t>
  </si>
  <si>
    <t>Đinh Phương Thảo</t>
  </si>
  <si>
    <t>KPI</t>
  </si>
  <si>
    <t>Phụ cấp học việc</t>
  </si>
  <si>
    <t>Lê Minh Phát</t>
  </si>
  <si>
    <t>Nguyễn Thị Hoa</t>
  </si>
  <si>
    <t>Nguyễn Thị Nhớ</t>
  </si>
  <si>
    <t>QC</t>
  </si>
  <si>
    <t>Tiền sinh nhật</t>
  </si>
  <si>
    <t>Tiền thưởng đạt chuyên cần</t>
  </si>
  <si>
    <t>Sản Xuất</t>
  </si>
  <si>
    <t>Lê Nguyễn Hoài Nam</t>
  </si>
  <si>
    <t>Nguyễn Thị Hồng Nhung</t>
  </si>
  <si>
    <t>Nguyễn Bảo Toàn</t>
  </si>
  <si>
    <t>Ngô Dương Thùy Trang</t>
  </si>
  <si>
    <t>Nguyễn Đoàn Duy Khương</t>
  </si>
  <si>
    <t>Số công ngày</t>
  </si>
  <si>
    <t>Tên NV</t>
  </si>
  <si>
    <t>Phụ cấp cơm trưa</t>
  </si>
  <si>
    <t>Lương CB/ giờ</t>
  </si>
  <si>
    <t>Lương TC/ giờ</t>
  </si>
  <si>
    <t>BHXH người lao động đóng</t>
  </si>
  <si>
    <t>BHXH công ty đóng</t>
  </si>
  <si>
    <t>THÔNG TIN CHI TIẾT LƯƠNG</t>
  </si>
  <si>
    <t>Các khoản lương thu nhập :</t>
  </si>
  <si>
    <t>Lương đi công tác GCN</t>
  </si>
  <si>
    <t>Khấu trừ BHXH (10.5%)</t>
  </si>
  <si>
    <t>Tiền lễ tết</t>
  </si>
  <si>
    <t>Phép năm</t>
  </si>
  <si>
    <t>Tiền phép năm</t>
  </si>
  <si>
    <t>Đơn giá đi công tác/ giờ</t>
  </si>
  <si>
    <t>Đơn giá xăng công tác/ ngày</t>
  </si>
  <si>
    <t>Số giờ đi công tác</t>
  </si>
  <si>
    <t>Số lần đi công tác</t>
  </si>
  <si>
    <t>Tổng thu nhập</t>
  </si>
  <si>
    <t>Phụ cấp tăng ca/ ngày</t>
  </si>
  <si>
    <t>Cột này lấy công thức</t>
  </si>
  <si>
    <t>Đã đóng BHXH</t>
  </si>
  <si>
    <t>X</t>
  </si>
  <si>
    <t>Lương CB chính thức/ 26 ngày</t>
  </si>
  <si>
    <t>Lương CB thử việc / 26 ngày</t>
  </si>
  <si>
    <t>Lương CB thử việc / 1 giờ</t>
  </si>
  <si>
    <t>Lương CB thử việc tăng ca / 1 giờ</t>
  </si>
  <si>
    <t>Phụ cấp xăng đi GCN</t>
  </si>
  <si>
    <t>Khấu trừ BHXH 10.5%</t>
  </si>
  <si>
    <t>Tính tiền</t>
  </si>
  <si>
    <t>Lương ca ngày (thử việc)</t>
  </si>
  <si>
    <t>Lương ca đêm (thử việc)</t>
  </si>
  <si>
    <t>Phụ cấp cơm ca ngày</t>
  </si>
  <si>
    <t>Phụ cấp ca đêm</t>
  </si>
  <si>
    <t>Tiền lương tháng trước bị thiếu</t>
  </si>
  <si>
    <t>Nghỉ có phép</t>
  </si>
  <si>
    <t>Nghỉ không phép</t>
  </si>
  <si>
    <t>Lỗi nhẹ</t>
  </si>
  <si>
    <t>BHXH (21.5%) công ty đóng cho NLĐ</t>
  </si>
  <si>
    <t>- Tên nhân viên :</t>
  </si>
  <si>
    <t>Số giờ/ công</t>
  </si>
  <si>
    <t>Bảo trì</t>
  </si>
  <si>
    <t>Hình thức thanh toán</t>
  </si>
  <si>
    <t>Số công</t>
  </si>
  <si>
    <t>Số nghỉ có phép</t>
  </si>
  <si>
    <t>Số nghỉ không có phép</t>
  </si>
  <si>
    <t>Số lỗi nặng</t>
  </si>
  <si>
    <t>Số lỗi nhẹ</t>
  </si>
  <si>
    <t>Chuyển khoản</t>
  </si>
  <si>
    <t>Lương tăng ca (thử việc)</t>
  </si>
  <si>
    <t>Số giờ tăng ca ( thử việc)</t>
  </si>
  <si>
    <t>MỐC CHẤM CÔNG</t>
  </si>
  <si>
    <t>GIỜ LÀM CA NGÀY</t>
  </si>
  <si>
    <t>GIỜ LÀM CA ĐÊM</t>
  </si>
  <si>
    <t>MỐC GIẢI LAO NVHC</t>
  </si>
  <si>
    <t>MỐC GIẢI LAO NVQC</t>
  </si>
  <si>
    <t>MỐC GIẢI LAO NVSX</t>
  </si>
  <si>
    <t>TỪ NGÀY</t>
  </si>
  <si>
    <t>GIỜ VÀO</t>
  </si>
  <si>
    <t>CA NGÀY</t>
  </si>
  <si>
    <t>CA ĐÊM</t>
  </si>
  <si>
    <t>ĐẾN NGÀY</t>
  </si>
  <si>
    <t>GIỜ RA</t>
  </si>
  <si>
    <t>THỜI GIAN</t>
  </si>
  <si>
    <t>PHÚT</t>
  </si>
  <si>
    <t>KẾT QUẢ XỬ LÝ</t>
  </si>
  <si>
    <t>NGÀY</t>
  </si>
  <si>
    <t>ID NHÂN VIÊN</t>
  </si>
  <si>
    <t>TÊN NHÂN VIÊN</t>
  </si>
  <si>
    <t>CA LÀM</t>
  </si>
  <si>
    <t>BỘ PHẬN LÀM VIỆC</t>
  </si>
  <si>
    <t>CÔNG ( THEO GIỜ)</t>
  </si>
  <si>
    <t>LỊCH LÀM VIỆC</t>
  </si>
  <si>
    <t>CẢNH BÁO</t>
  </si>
  <si>
    <t>ĐÊM</t>
  </si>
  <si>
    <t>TĂNG CA</t>
  </si>
  <si>
    <t>TỔNG GIỜ</t>
  </si>
  <si>
    <t>BỘ PHẬN</t>
  </si>
  <si>
    <t>CA</t>
  </si>
  <si>
    <t>NGÀY CHƯA CÓ LỊCH</t>
  </si>
  <si>
    <t>Số tài khoản</t>
  </si>
  <si>
    <t>3845 966 223</t>
  </si>
  <si>
    <t>0181 002 843 297</t>
  </si>
  <si>
    <t>3397 286 876</t>
  </si>
  <si>
    <t>7963 672 389</t>
  </si>
  <si>
    <t>7902 685 401</t>
  </si>
  <si>
    <t>1906 627 655</t>
  </si>
  <si>
    <t>1016 260 227</t>
  </si>
  <si>
    <t>1015 955 827</t>
  </si>
  <si>
    <t>3328 047 901</t>
  </si>
  <si>
    <t>Huỳnh Văn Thanh</t>
  </si>
  <si>
    <t>Văn phòng</t>
  </si>
  <si>
    <t>3938 241 349</t>
  </si>
  <si>
    <t>3356 952 051</t>
  </si>
  <si>
    <t>7814 103 927</t>
  </si>
  <si>
    <t>7763 753 137</t>
  </si>
  <si>
    <t>0501 000 191 835</t>
  </si>
  <si>
    <t>3339 077 588</t>
  </si>
  <si>
    <t>7979 845 048</t>
  </si>
  <si>
    <t>1932 421 405</t>
  </si>
  <si>
    <t>3395 178 549</t>
  </si>
  <si>
    <t>3937 291 618</t>
  </si>
  <si>
    <t>3365 994 895</t>
  </si>
  <si>
    <t>3703 806 713</t>
  </si>
  <si>
    <t>3342 229 060</t>
  </si>
  <si>
    <t>Nguyễn Hữu Huynh</t>
  </si>
  <si>
    <t>7908 712 407</t>
  </si>
  <si>
    <t>1943 323 680</t>
  </si>
  <si>
    <t>BẢNG CHẤM CÔNG VINH VINH PHÁT</t>
  </si>
  <si>
    <t>Số công chính</t>
  </si>
  <si>
    <t>Công thử việc</t>
  </si>
  <si>
    <t>Phụ cấp tiền cơm ngày</t>
  </si>
  <si>
    <t>Số ngày
lễ , tết</t>
  </si>
  <si>
    <t>Số ngày
phép năm</t>
  </si>
  <si>
    <t>Có phép</t>
  </si>
  <si>
    <t>Không phép</t>
  </si>
  <si>
    <t>Số giờ làm ngày</t>
  </si>
  <si>
    <t>Số giờ làm đêm</t>
  </si>
  <si>
    <t>Tính lương ngày</t>
  </si>
  <si>
    <t>Tính lương đêm</t>
  </si>
  <si>
    <t>Tăng ca thử việc</t>
  </si>
  <si>
    <t>Ngày</t>
  </si>
  <si>
    <t>Đêm</t>
  </si>
  <si>
    <t>VINH VINH PHÁT</t>
  </si>
  <si>
    <t>Thanh toán bằng chuyển khoản</t>
  </si>
  <si>
    <t>STT</t>
  </si>
  <si>
    <t>MS NV</t>
  </si>
  <si>
    <t>HỌ VÀ TÊN</t>
  </si>
  <si>
    <t>SỐ TÀI KHOẢN</t>
  </si>
  <si>
    <t>SỐ TIỀN</t>
  </si>
  <si>
    <t>TỔNG</t>
  </si>
  <si>
    <t>Người lập</t>
  </si>
  <si>
    <t>Thanh toán bằng tiền mặt</t>
  </si>
  <si>
    <t>TỔNG LƯƠNG</t>
  </si>
  <si>
    <t>THỰC LÃNH</t>
  </si>
  <si>
    <t>KÝ NHẬN</t>
  </si>
  <si>
    <t>Trần Thị Cẩm Tiên</t>
  </si>
  <si>
    <t>Lê Văn Kiệt</t>
  </si>
  <si>
    <t>GIỜ LÀM TỐI THIẾU TÍNH TĂNG CA</t>
  </si>
  <si>
    <t>Nợ Kỳ trước</t>
  </si>
  <si>
    <t>Khấu trừ bảo hiểm (10.5%)</t>
  </si>
  <si>
    <t>Ngày nhận việc</t>
  </si>
  <si>
    <t>Đồng Thị Ngọc Minh</t>
  </si>
  <si>
    <t>Lê Thị Hồng Hiếu</t>
  </si>
  <si>
    <t>BHXH 32% CTY phải đóng (VNĐ)</t>
  </si>
  <si>
    <t>0281 000 374 375</t>
  </si>
  <si>
    <t>Nguyễn Huỳnh Phúc Hữu Lộc</t>
  </si>
  <si>
    <t>Nguyễn Thị Lệ Dung</t>
  </si>
  <si>
    <t>A7A</t>
  </si>
  <si>
    <t>Võ Thị Thúy Kiều</t>
  </si>
  <si>
    <r>
      <t xml:space="preserve">CÔNG TY TNHH MTV VINH VINH PHÁT
</t>
    </r>
    <r>
      <rPr>
        <sz val="13"/>
        <color theme="1"/>
        <rFont val="Times New Roman"/>
        <family val="1"/>
      </rPr>
      <t>Đ/c: 2861 Quốc Lộ 1, Ấp 3, Xã Bình Chánh, Huyện Bình Chánh, TP-HCM</t>
    </r>
  </si>
  <si>
    <t>DANH SÁCH LÀM THẺ ATM VIETCOMBANK</t>
  </si>
  <si>
    <t>Số điện thoại</t>
  </si>
  <si>
    <t>0879.644.193</t>
  </si>
  <si>
    <t>0336.300.460</t>
  </si>
  <si>
    <t>0369.842.361</t>
  </si>
  <si>
    <t>0828.341.604</t>
  </si>
  <si>
    <t>0818.016.781</t>
  </si>
  <si>
    <t>0961.520.788</t>
  </si>
  <si>
    <t>0586.291.390</t>
  </si>
  <si>
    <t>0385.939.020</t>
  </si>
  <si>
    <t>0814.132.814</t>
  </si>
  <si>
    <t>0317.011.237</t>
  </si>
  <si>
    <t>0898.406.358</t>
  </si>
  <si>
    <t>0777.081.864</t>
  </si>
  <si>
    <t>0357.799.097</t>
  </si>
  <si>
    <t>0356.061.906</t>
  </si>
  <si>
    <t>104 980 3572</t>
  </si>
  <si>
    <t>104 980 2256</t>
  </si>
  <si>
    <t>104 980 0352</t>
  </si>
  <si>
    <t>104 980 5768</t>
  </si>
  <si>
    <t>104 980 9976</t>
  </si>
  <si>
    <t>10 cán bộ</t>
  </si>
  <si>
    <t>7965 354 745</t>
  </si>
  <si>
    <t>Chuyển cho BHXH 32%</t>
  </si>
  <si>
    <t>Chuyển cho Liên đoàn lao động Bình Tân 2%</t>
  </si>
  <si>
    <t>NGÂN HÀNG : VIETINBANK</t>
  </si>
  <si>
    <t>STK : 124 000 132 785</t>
  </si>
  <si>
    <t>Chủ tài khoản : CDCS CT TNHH MTV VINH VINH PHAT</t>
  </si>
  <si>
    <t xml:space="preserve">Số tiền : </t>
  </si>
  <si>
    <r>
      <t xml:space="preserve">Nội dung: </t>
    </r>
    <r>
      <rPr>
        <i/>
        <sz val="16"/>
        <color theme="1"/>
        <rFont val="Times New Roman"/>
        <family val="1"/>
      </rPr>
      <t>Công ty chuyển 1% tiền thu hộ tiền đoàn phí công đoàn tháng 10/2024</t>
    </r>
  </si>
  <si>
    <t>Hồ Văn Tùng</t>
  </si>
  <si>
    <t>Nguyễn Văn Nhường</t>
  </si>
  <si>
    <t>hành chánh VP</t>
  </si>
  <si>
    <t>Lê Thị Cẩm Nhiên</t>
  </si>
  <si>
    <t>104 980 9572</t>
  </si>
  <si>
    <t>PHỤ LỤC TÍNH LƯƠNG</t>
  </si>
  <si>
    <t>9364 804 917</t>
  </si>
  <si>
    <t>Hồ Thị Du</t>
  </si>
  <si>
    <t>Xác nhận</t>
  </si>
  <si>
    <t>Công ty phải đóng Kinh phí công đoàn 2% cho người lao động :</t>
  </si>
  <si>
    <t>Ngày nhận lương:</t>
  </si>
  <si>
    <t>MSNV:</t>
  </si>
  <si>
    <t>Bù tiền thiếu tháng trước</t>
  </si>
  <si>
    <t>Công ty phải tổng trả chi phí lương cho 01 người lao động/ tháng:</t>
  </si>
  <si>
    <t>Công ty phải đóng BHXH 21.5%  cho người lao động :</t>
  </si>
  <si>
    <t>QA</t>
  </si>
  <si>
    <t>BHXH</t>
  </si>
  <si>
    <t>LIÊN ĐOÀN</t>
  </si>
  <si>
    <t>CÔNG ĐOÀN</t>
  </si>
  <si>
    <t>9932 473 273</t>
  </si>
  <si>
    <t>7794 343 380</t>
  </si>
  <si>
    <t>0511 000 468 377</t>
  </si>
  <si>
    <t>103 703 5714</t>
  </si>
  <si>
    <t>104 980 4647</t>
  </si>
  <si>
    <t>1876  640  616</t>
  </si>
  <si>
    <t>Quản lý sản xuất</t>
  </si>
  <si>
    <t>Mua hàng</t>
  </si>
  <si>
    <t>104 980 2926</t>
  </si>
  <si>
    <t>104 980 1669</t>
  </si>
  <si>
    <t>Hồ Ngọc Quế Trinh</t>
  </si>
  <si>
    <t>Nguyễn Minh Thùy</t>
  </si>
  <si>
    <t>Nguyễn Chí Nhân</t>
  </si>
  <si>
    <t>Tăng Thị Vành Na</t>
  </si>
  <si>
    <t>3939 316 371</t>
  </si>
  <si>
    <t>7945 691 656</t>
  </si>
  <si>
    <t>1942 275 042</t>
  </si>
  <si>
    <t>Trưởng ca</t>
  </si>
  <si>
    <t>THANH TOÁN LƯƠNG KỲ 16/04 ĐẾN 15/05/2025</t>
  </si>
  <si>
    <t>Huỳnh Thị Mỹ Nhiên</t>
  </si>
  <si>
    <t>Nguyễn Huỳnh Minh Phát</t>
  </si>
  <si>
    <t>000 105 764 1822</t>
  </si>
  <si>
    <t>000 105 764 0113</t>
  </si>
  <si>
    <t>000 105 764 1091</t>
  </si>
  <si>
    <t>000 105 764 1532</t>
  </si>
  <si>
    <t>000 105 764 1341</t>
  </si>
  <si>
    <t>Nguyễn Thị Bích Ngọc</t>
  </si>
  <si>
    <t>1051 573 860</t>
  </si>
  <si>
    <t>1059 007 163</t>
  </si>
  <si>
    <t>THANH TOÁN LƯƠNG KỲ 16/07 ĐẾN 15/08/2025</t>
  </si>
  <si>
    <t>Phí công đoàn 0.5%</t>
  </si>
  <si>
    <t>Khấu trừ phí công đoàn (0.5%)</t>
  </si>
  <si>
    <t>Chuyển hộ cho Công đoàn cơ sở VVP 0.5%</t>
  </si>
  <si>
    <t>Khấu trừ Công đoàn (0.5%)</t>
  </si>
  <si>
    <t>Nguyễn Thị Thúy Ngọc</t>
  </si>
  <si>
    <t>9913 247 875</t>
  </si>
  <si>
    <t>Nguyễn Thị Kim Anh</t>
  </si>
  <si>
    <t>9363 804 021</t>
  </si>
  <si>
    <t>ISO</t>
  </si>
  <si>
    <t>Phan Thanh Toàn</t>
  </si>
  <si>
    <t>1 ngày lương CB VVP</t>
  </si>
  <si>
    <t>9394 766 541</t>
  </si>
  <si>
    <t>Nguyễn Hồng Thọ</t>
  </si>
  <si>
    <t>Bình Chánh , Ngày 24 tháng 02 năm 2026</t>
  </si>
  <si>
    <t>Quản đốc</t>
  </si>
  <si>
    <t>IV</t>
  </si>
  <si>
    <t>Tổng chi</t>
  </si>
  <si>
    <t>Hoàn tiền KPI tháng trước</t>
  </si>
  <si>
    <t>Hồ Sóng Vổ</t>
  </si>
  <si>
    <t>2 lỗi nhẹ = 1 lỗi nặng</t>
  </si>
  <si>
    <t>Trừ tối thiểu đến 5 tr không trừ nữa</t>
  </si>
  <si>
    <t>3 lỗi nặng -&gt; trừ 200.000 đ</t>
  </si>
  <si>
    <t>3 lỗi nặng + 1 -&gt; trừ 400.000 đ</t>
  </si>
  <si>
    <t>3 lỗi nặng + tăng 1 lỗi nặng -&gt; trừ thêm 200.000 đ</t>
  </si>
  <si>
    <t>Đi trễ về sớm 0.5 ngày không có phép -&gt; Tính 1 ngày có phép</t>
  </si>
  <si>
    <t>Tứ thân phụ mẫu mất -&gt; được nghỉ 05 ngày hưởng lương (không trừ trách nhiệm và chuyên cần)</t>
  </si>
  <si>
    <t>Tăng ca/ tăng cường -&gt; Lương cơ bản x 1.5/ phụ cấp tăng ca/ phụ cấp tiền ăn ca</t>
  </si>
  <si>
    <t>Cách tính tăng ca -&gt; tính đủ trước 8 tiếng rồi còn giờ còn lại tính tăng ca</t>
  </si>
  <si>
    <t>Được hoàn tiền tháng trước nếu như tháng này lỗi giảm từ 50% trở xuống và tháng này vẫn bị trừ nếu bị lỗi</t>
  </si>
  <si>
    <t>Lương làm tết ca ngày = 1.150.000 đ</t>
  </si>
  <si>
    <t>Lương làm tết ca đêm = 1.450.000 đ</t>
  </si>
  <si>
    <t>Lương làm tết ca ngày = 750.000 đ (làm từ 7h30 -&gt; 14h00))</t>
  </si>
  <si>
    <t>Giới thiệu người vào làm -&gt; tháng đầu = 500.000đ/ 3 tháng sau = 2.000.000đ</t>
  </si>
  <si>
    <t>Tp. Hồ Chí Minh, ngày 01 tháng 04 năm 2026.</t>
  </si>
  <si>
    <t xml:space="preserve">                                                                          TM. BAN GIÁM ĐỐC</t>
  </si>
  <si>
    <t xml:space="preserve">                                                                                       Quản đốc</t>
  </si>
  <si>
    <t>Trách nhiệm = tháng đủ hoặc tháng thiếu</t>
  </si>
  <si>
    <t>Lương cơ bản = 26 ngày (208 giờ)</t>
  </si>
  <si>
    <t>Nghỉ 01 ngày có phép -&gt;  Không trừ chuyên cần và trách nhiệm</t>
  </si>
  <si>
    <t>Nghỉ 02 ngày có phép -&gt; Trừ 50% tiền chuyên cần và trừ 1 ngày trách nhiệm</t>
  </si>
  <si>
    <t>Nghỉ 03 ngày có phép trở lên -&gt; Trừ hết tiền chuyên cần và trừ 2 ngày trách nhiệm trở lên</t>
  </si>
  <si>
    <t>Nghỉ 01 ngày không phép -&gt; Trừ 50% tiền chuyên cần và không trừ trách nhiệm</t>
  </si>
  <si>
    <t>Nghỉ 02 ngày không phép trở lên -&gt; Trừ hết tiền chuyên cần và trừ 1 ngày trách nhiệm trở lên</t>
  </si>
  <si>
    <t>NLĐ sinh em pé -&gt; Công ty không trừ 05 ngày trách nhiệm và chuyên cần</t>
  </si>
  <si>
    <t>NLĐ kết hôn -&gt; được nghỉ 05 ngày hưởng lương, không trừ trách nhiệm và chuyên cần</t>
  </si>
  <si>
    <t>Quốc khánh (2/9) -&gt; nghỉ 02 ngày hưởng lương cơ bản 02 ngày/ trừ 2 ngày trách nhiệm, chuyên cần không trừ</t>
  </si>
  <si>
    <t>Ngày Quốc tế Lao động (1/5) -&gt; nghỉ 01 ngày hưởng lương cơ bản 01 ngày, trừ 01 ngày trách nhiệm, chuyên cần không trừ</t>
  </si>
  <si>
    <t>Ngày Chiến thắng (30/4) -&gt; nghỉ 01 ngày hưởng lương cơ bản 01 ngày, trừ 01 ngày trách nhiệm, chuyên cần không trừ</t>
  </si>
  <si>
    <t>Giỗ Tổ Hùng Vương -&gt; nghỉ 01 ngày hưởng lương cơ bản 01 ngày, trừ 01 ngày trách nhiệm, chuyên cần không trừ</t>
  </si>
  <si>
    <t>Tết Âm lịch -&gt; nghỉ 05 ngày hưởng lương cơ bản 05 ngày, trừ 05 ngày trách nhiệm, chuyên cần không trừ</t>
  </si>
  <si>
    <t>Tết Dương lịch -&gt; nghỉ 01 ngày hưởng lương cơ bản 01 ngày, trừ 01 ngày trách nhiệm, chuyên cần không trừ</t>
  </si>
  <si>
    <t>Hết việc cho về -&gt; Hỗ trợ 100.000đ/ ca , trừ trách nhiệm ngày đó (ngoại trừ là ngày tăng cường không hỗ trợ)</t>
  </si>
  <si>
    <t>01 tháng tính 01 ngày phép được tính vào bảng lương tháng đó</t>
  </si>
  <si>
    <t>Xét 03 tháng liên tiếp số ngày nghỉ = 0 -&gt; thưởng đạt chuyên cần = 300.000đ</t>
  </si>
  <si>
    <r>
      <t xml:space="preserve">Lương ngày
</t>
    </r>
    <r>
      <rPr>
        <i/>
        <sz val="12"/>
        <color rgb="FF000066"/>
        <rFont val="Times New Roman"/>
        <family val="1"/>
      </rPr>
      <t>(áp dụng tháng đầu)</t>
    </r>
  </si>
  <si>
    <r>
      <t xml:space="preserve">Lương đêm
</t>
    </r>
    <r>
      <rPr>
        <i/>
        <sz val="12"/>
        <color rgb="FF000066"/>
        <rFont val="Times New Roman"/>
        <family val="1"/>
      </rPr>
      <t>(áp dụng tháng đầu)</t>
    </r>
  </si>
  <si>
    <t>Từ ngày 16/03/2026 đến ngày 15/04/2026</t>
  </si>
  <si>
    <t>BẢNG THANH TOÁN LƯƠNG VINH VINH PHÁT tháng 04</t>
  </si>
  <si>
    <t>Tháng 16/03 đến 15/04/2026</t>
  </si>
  <si>
    <r>
      <rPr>
        <b/>
        <sz val="16"/>
        <color rgb="FF002060"/>
        <rFont val="Times New Roman"/>
        <family val="1"/>
      </rPr>
      <t>PHIẾU LƯƠNG</t>
    </r>
    <r>
      <rPr>
        <b/>
        <sz val="14"/>
        <color rgb="FF002060"/>
        <rFont val="Times New Roman"/>
        <family val="1"/>
      </rPr>
      <t xml:space="preserve"> </t>
    </r>
    <r>
      <rPr>
        <i/>
        <sz val="12"/>
        <color rgb="FF002060"/>
        <rFont val="Times New Roman"/>
        <family val="1"/>
      </rPr>
      <t>(tính từ 16/03/2026 đến 15/04/2026)</t>
    </r>
  </si>
  <si>
    <t>04/05/2026</t>
  </si>
  <si>
    <t>Tổng chi trả tháng 04/2026</t>
  </si>
  <si>
    <t>Chuyên môn</t>
  </si>
  <si>
    <t>Lương căn bản</t>
  </si>
  <si>
    <t>Số ngày nghỉ</t>
  </si>
  <si>
    <t>Bị trừ KPI tháng này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</si>
</sst>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41" formatCode="_(* #,##0_);_(* \(#,##0\);_(* &quot;-&quot;_);_(@_)"/>
    <numFmt numFmtId="43" formatCode="_(* #,##0.00_);_(* \(#,##0.00\);_(* &quot;-&quot;??_);_(@_)"/>
    <numFmt numFmtId="164" formatCode="_-* #,##0.00\ _₫_-;\-* #,##0.00\ _₫_-;_-* &quot;-&quot;??\ _₫_-;_-@_-"/>
    <numFmt numFmtId="165" formatCode="_(* #,##0_);_(* \(#,##0\);_(* &quot;-&quot;??_);_(@_)"/>
    <numFmt numFmtId="166" formatCode="_(* #,##0.0_);_(* \(#,##0.0\);_(* &quot;-&quot;?_);_(@_)"/>
    <numFmt numFmtId="167" formatCode="_-* #,##0.0\ _₫_-;\-* #,##0.0\ _₫_-;_-* &quot;-&quot;??\ _₫_-;_-@_-"/>
    <numFmt numFmtId="168" formatCode="_-* #,##0\ _₫_-;\-* #,##0\ _₫_-;_-* &quot;-&quot;??\ _₫_-;_-@_-"/>
    <numFmt numFmtId="169" formatCode="hh:mm"/>
    <numFmt numFmtId="170" formatCode="hh:mm:ss"/>
    <numFmt numFmtId="171" formatCode="dd/mm/yyyy;@"/>
    <numFmt numFmtId="172" formatCode="0.0"/>
    <numFmt numFmtId="173" formatCode="[$-1010000]d/m/yyyy;@"/>
  </numFmts>
  <fonts count="96">
    <font>
      <sz val="11"/>
      <color theme="1"/>
      <name val="Calibri"/>
      <family val="2"/>
      <charset val="163"/>
      <scheme val="minor"/>
    </font>
    <font>
      <sz val="10"/>
      <name val="VNI-Times"/>
    </font>
    <font>
      <b/>
      <sz val="12"/>
      <name val="Times New Roman"/>
      <family val="1"/>
    </font>
    <font>
      <sz val="12"/>
      <name val="Times New Roman"/>
      <family val="1"/>
    </font>
    <font>
      <sz val="10"/>
      <name val=".VnArial"/>
      <family val="2"/>
    </font>
    <font>
      <sz val="11"/>
      <name val="VNI-Times"/>
    </font>
    <font>
      <sz val="11"/>
      <color theme="1"/>
      <name val="Calibri"/>
      <family val="2"/>
      <charset val="163"/>
      <scheme val="minor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</font>
    <font>
      <sz val="14"/>
      <color rgb="FF002060"/>
      <name val="Times New Roman"/>
      <family val="1"/>
    </font>
    <font>
      <sz val="12"/>
      <color rgb="FF002060"/>
      <name val="Times New Roman"/>
      <family val="1"/>
    </font>
    <font>
      <b/>
      <sz val="11"/>
      <color rgb="FF002060"/>
      <name val="Times New Roman"/>
      <family val="1"/>
    </font>
    <font>
      <sz val="11"/>
      <color rgb="FF002060"/>
      <name val="Times New Roman"/>
      <family val="1"/>
    </font>
    <font>
      <b/>
      <sz val="14"/>
      <color rgb="FF002060"/>
      <name val="Times New Roman"/>
      <family val="1"/>
    </font>
    <font>
      <b/>
      <sz val="10"/>
      <color rgb="FF002060"/>
      <name val="Times New Roman"/>
      <family val="1"/>
    </font>
    <font>
      <sz val="10"/>
      <color rgb="FF002060"/>
      <name val="Times New Roman"/>
      <family val="1"/>
    </font>
    <font>
      <b/>
      <sz val="12"/>
      <color rgb="FF002060"/>
      <name val="Times New Roman"/>
      <family val="1"/>
    </font>
    <font>
      <sz val="12"/>
      <color rgb="FFFF0000"/>
      <name val="Times New Roman"/>
      <family val="1"/>
    </font>
    <font>
      <i/>
      <sz val="12"/>
      <color rgb="FF002060"/>
      <name val="Times New Roman"/>
      <family val="1"/>
    </font>
    <font>
      <sz val="11"/>
      <color rgb="FFFF0000"/>
      <name val="Times New Roman"/>
      <family val="1"/>
    </font>
    <font>
      <i/>
      <sz val="11"/>
      <color rgb="FF002060"/>
      <name val="Times New Roman"/>
      <family val="1"/>
    </font>
    <font>
      <sz val="12"/>
      <color rgb="FF00B050"/>
      <name val="Times New Roman"/>
      <family val="1"/>
    </font>
    <font>
      <b/>
      <i/>
      <sz val="11"/>
      <color rgb="FF002060"/>
      <name val="Times New Roman"/>
      <family val="1"/>
    </font>
    <font>
      <b/>
      <i/>
      <sz val="10"/>
      <color rgb="FF002060"/>
      <name val="Times New Roman"/>
      <family val="1"/>
    </font>
    <font>
      <b/>
      <sz val="18"/>
      <color rgb="FF002060"/>
      <name val="Times New Roman"/>
      <family val="1"/>
    </font>
    <font>
      <sz val="11"/>
      <name val="Times New Roman"/>
      <family val="1"/>
    </font>
    <font>
      <b/>
      <sz val="12"/>
      <color theme="0"/>
      <name val="Calibri"/>
      <family val="2"/>
      <scheme val="minor"/>
    </font>
    <font>
      <b/>
      <sz val="12"/>
      <color theme="0"/>
      <name val=".VnTime"/>
      <family val="2"/>
    </font>
    <font>
      <b/>
      <sz val="9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rgb="FF0070C0"/>
      <name val="Calibri"/>
      <family val="2"/>
      <scheme val="minor"/>
    </font>
    <font>
      <sz val="16"/>
      <color theme="1"/>
      <name val="Times New Roman"/>
      <family val="1"/>
    </font>
    <font>
      <sz val="14"/>
      <color theme="1"/>
      <name val="Times New Roman"/>
      <family val="1"/>
    </font>
    <font>
      <sz val="12"/>
      <color theme="1"/>
      <name val="Times New Roman"/>
      <family val="1"/>
    </font>
    <font>
      <b/>
      <sz val="16"/>
      <name val="Times New Roman"/>
      <family val="1"/>
    </font>
    <font>
      <b/>
      <sz val="11"/>
      <color rgb="FFC00000"/>
      <name val="Times New Roman"/>
      <family val="1"/>
    </font>
    <font>
      <b/>
      <sz val="16"/>
      <color theme="0"/>
      <name val="Times New Roman"/>
      <family val="1"/>
    </font>
    <font>
      <sz val="14"/>
      <color theme="0"/>
      <name val="Times New Roman"/>
      <family val="1"/>
    </font>
    <font>
      <b/>
      <sz val="12"/>
      <color rgb="FF0000FF"/>
      <name val="Times New Roman"/>
      <family val="1"/>
    </font>
    <font>
      <b/>
      <sz val="12"/>
      <color theme="0"/>
      <name val="Times New Roman"/>
      <family val="1"/>
    </font>
    <font>
      <sz val="12"/>
      <color theme="0"/>
      <name val="Times New Roman"/>
      <family val="1"/>
    </font>
    <font>
      <b/>
      <sz val="11"/>
      <color rgb="FF0000FF"/>
      <name val="Times New Roman"/>
      <family val="1"/>
    </font>
    <font>
      <sz val="14"/>
      <color rgb="FFFF0000"/>
      <name val="Times New Roman"/>
      <family val="1"/>
    </font>
    <font>
      <sz val="14"/>
      <name val="Times New Roman"/>
      <family val="1"/>
    </font>
    <font>
      <b/>
      <sz val="22"/>
      <color theme="1"/>
      <name val="Times New Roman"/>
      <family val="1"/>
    </font>
    <font>
      <b/>
      <sz val="18"/>
      <color theme="1"/>
      <name val="Times New Roman"/>
      <family val="1"/>
    </font>
    <font>
      <b/>
      <i/>
      <sz val="18"/>
      <color theme="1"/>
      <name val="Times New Roman"/>
      <family val="1"/>
    </font>
    <font>
      <b/>
      <sz val="12"/>
      <color theme="1"/>
      <name val="Times New Roman"/>
      <family val="1"/>
    </font>
    <font>
      <b/>
      <sz val="14"/>
      <color theme="1"/>
      <name val="Times New Roman"/>
      <family val="1"/>
    </font>
    <font>
      <b/>
      <sz val="16"/>
      <color theme="1"/>
      <name val="Times New Roman"/>
      <family val="1"/>
    </font>
    <font>
      <b/>
      <sz val="14"/>
      <name val="Times New Roman"/>
      <family val="1"/>
    </font>
    <font>
      <sz val="16"/>
      <name val="Times New Roman"/>
      <family val="1"/>
    </font>
    <font>
      <b/>
      <sz val="11"/>
      <name val="Times New Roman"/>
      <family val="1"/>
    </font>
    <font>
      <b/>
      <sz val="24"/>
      <name val="Times New Roman"/>
      <family val="1"/>
    </font>
    <font>
      <b/>
      <sz val="22"/>
      <name val="Times New Roman"/>
      <family val="1"/>
    </font>
    <font>
      <b/>
      <sz val="13"/>
      <color theme="1"/>
      <name val="Times New Roman"/>
      <family val="1"/>
    </font>
    <font>
      <sz val="13"/>
      <color theme="1"/>
      <name val="Times New Roman"/>
      <family val="1"/>
    </font>
    <font>
      <i/>
      <sz val="12"/>
      <name val="Times New Roman"/>
      <family val="1"/>
    </font>
    <font>
      <i/>
      <sz val="16"/>
      <name val="Times New Roman"/>
      <family val="1"/>
    </font>
    <font>
      <i/>
      <sz val="16"/>
      <color theme="1"/>
      <name val="Times New Roman"/>
      <family val="1"/>
    </font>
    <font>
      <b/>
      <i/>
      <sz val="16"/>
      <name val="Times New Roman"/>
      <family val="1"/>
    </font>
    <font>
      <b/>
      <sz val="11"/>
      <color rgb="FFFF0000"/>
      <name val="Times New Roman"/>
      <family val="1"/>
    </font>
    <font>
      <b/>
      <sz val="17"/>
      <name val="Times New Roman"/>
      <family val="1"/>
    </font>
    <font>
      <sz val="17"/>
      <name val="Times New Roman"/>
      <family val="1"/>
    </font>
    <font>
      <b/>
      <sz val="17"/>
      <color theme="1"/>
      <name val="Times New Roman"/>
      <family val="1"/>
    </font>
    <font>
      <sz val="17"/>
      <color theme="1"/>
      <name val="Times New Roman"/>
      <family val="1"/>
    </font>
    <font>
      <b/>
      <sz val="16"/>
      <color rgb="FF002060"/>
      <name val="Times New Roman"/>
      <family val="1"/>
    </font>
    <font>
      <b/>
      <i/>
      <sz val="11"/>
      <color rgb="FFFF0000"/>
      <name val="Times New Roman"/>
      <family val="1"/>
    </font>
    <font>
      <sz val="16"/>
      <color rgb="FF002060"/>
      <name val="Times New Roman"/>
      <family val="1"/>
    </font>
    <font>
      <b/>
      <sz val="11"/>
      <color rgb="FF00204F"/>
      <name val="Times New Roman"/>
      <family val="1"/>
    </font>
    <font>
      <sz val="11"/>
      <color rgb="FF000000"/>
      <name val="Calibri"/>
      <family val="2"/>
    </font>
    <font>
      <sz val="17"/>
      <color rgb="FFFF0000"/>
      <name val="UTM Aristote"/>
      <family val="1"/>
    </font>
    <font>
      <sz val="11"/>
      <color rgb="FF000000"/>
      <name val="Calibri"/>
      <family val="2"/>
    </font>
    <font>
      <sz val="12"/>
      <color rgb="FFFFFFFF"/>
      <name val="Times New Roman"/>
      <family val="1"/>
    </font>
    <font>
      <sz val="12"/>
      <color rgb="FF0000FF"/>
      <name val="Times New Roman"/>
      <family val="1"/>
    </font>
    <font>
      <sz val="12"/>
      <color rgb="FFFFFFFF"/>
      <name val="Times New Roman"/>
      <family val="1"/>
    </font>
    <font>
      <sz val="12"/>
      <color rgb="FF0000FF"/>
      <name val="Times New Roman"/>
      <family val="1"/>
    </font>
    <font>
      <b/>
      <i/>
      <sz val="10"/>
      <color rgb="FFFF0000"/>
      <name val="Times New Roman"/>
      <family val="1"/>
    </font>
    <font>
      <b/>
      <sz val="11"/>
      <color theme="1"/>
      <name val="Times New Roman"/>
      <family val="1"/>
    </font>
    <font>
      <sz val="12"/>
      <color rgb="FFFFFFFF"/>
      <name val="Times New Roman"/>
    </font>
    <font>
      <sz val="12"/>
      <color rgb="FF0000FF"/>
      <name val="Times New Roman"/>
    </font>
    <font>
      <i/>
      <sz val="14"/>
      <color theme="1"/>
      <name val="Times New Roman"/>
      <family val="1"/>
    </font>
    <font>
      <sz val="12"/>
      <color rgb="FF000066"/>
      <name val="Times New Roman"/>
      <family val="1"/>
    </font>
    <font>
      <sz val="9"/>
      <color rgb="FF000066"/>
      <name val="Times New Roman"/>
      <family val="1"/>
    </font>
    <font>
      <b/>
      <sz val="12"/>
      <color rgb="FF000066"/>
      <name val="Times New Roman"/>
      <family val="1"/>
    </font>
    <font>
      <i/>
      <sz val="12"/>
      <color rgb="FF000066"/>
      <name val="Times New Roman"/>
      <family val="1"/>
    </font>
    <font>
      <sz val="11"/>
      <color rgb="FF000066"/>
      <name val="Times New Roman"/>
      <family val="1"/>
    </font>
    <font>
      <sz val="11"/>
      <color rgb="FF000066"/>
      <name val="Times New Roman"/>
      <family val="1"/>
    </font>
    <font>
      <b/>
      <sz val="9"/>
      <color rgb="FF000066"/>
      <name val="Times New Roman"/>
      <family val="1"/>
    </font>
    <font>
      <b/>
      <sz val="10"/>
      <color rgb="FFFF0000"/>
      <name val="Times New Roman"/>
      <family val="1"/>
    </font>
  </fonts>
  <fills count="43">
    <fill>
      <patternFill patternType="none"/>
    </fill>
    <fill>
      <patternFill patternType="gray125"/>
    </fill>
    <fill>
      <patternFill patternType="solid">
        <fgColor indexed="5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66FF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76933C"/>
      </patternFill>
    </fill>
    <fill>
      <patternFill patternType="solid">
        <fgColor rgb="FFFF66FF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C000"/>
        <bgColor indexed="64"/>
      </patternFill>
    </fill>
  </fills>
  <borders count="6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/>
      <top/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medium">
        <color theme="8" tint="-0.24994659260841701"/>
      </left>
      <right/>
      <top style="medium">
        <color theme="8" tint="-0.24994659260841701"/>
      </top>
      <bottom/>
      <diagonal/>
    </border>
    <border>
      <left/>
      <right style="medium">
        <color theme="8" tint="-0.24994659260841701"/>
      </right>
      <top style="medium">
        <color theme="8" tint="-0.24994659260841701"/>
      </top>
      <bottom/>
      <diagonal/>
    </border>
    <border>
      <left/>
      <right/>
      <top style="medium">
        <color theme="8" tint="-0.24994659260841701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8" tint="0.59996337778862885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medium">
        <color theme="8" tint="-0.24994659260841701"/>
      </left>
      <right/>
      <top/>
      <bottom/>
      <diagonal/>
    </border>
    <border>
      <left/>
      <right style="medium">
        <color theme="8" tint="-0.24994659260841701"/>
      </right>
      <top/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medium">
        <color theme="8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theme="8" tint="-0.24994659260841701"/>
      </right>
      <top/>
      <bottom style="thin">
        <color indexed="64"/>
      </bottom>
      <diagonal/>
    </border>
    <border>
      <left style="medium">
        <color theme="8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theme="8" tint="-0.24994659260841701"/>
      </right>
      <top style="thin">
        <color indexed="64"/>
      </top>
      <bottom style="thin">
        <color indexed="64"/>
      </bottom>
      <diagonal/>
    </border>
    <border>
      <left style="medium">
        <color theme="8" tint="-0.24994659260841701"/>
      </left>
      <right style="thin">
        <color indexed="64"/>
      </right>
      <top style="thin">
        <color indexed="64"/>
      </top>
      <bottom style="medium">
        <color theme="8" tint="-0.24994659260841701"/>
      </bottom>
      <diagonal/>
    </border>
    <border>
      <left style="thin">
        <color indexed="64"/>
      </left>
      <right style="medium">
        <color theme="8" tint="-0.24994659260841701"/>
      </right>
      <top style="thin">
        <color indexed="64"/>
      </top>
      <bottom style="medium">
        <color theme="8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theme="8" tint="-0.24994659260841701"/>
      </bottom>
      <diagonal/>
    </border>
    <border>
      <left style="medium">
        <color theme="4" tint="-0.24994659260841701"/>
      </left>
      <right style="thin">
        <color theme="0" tint="-0.499984740745262"/>
      </right>
      <top style="medium">
        <color theme="4" tint="-0.24994659260841701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medium">
        <color theme="4" tint="-0.24994659260841701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medium">
        <color theme="4" tint="-0.24994659260841701"/>
      </top>
      <bottom/>
      <diagonal/>
    </border>
    <border>
      <left style="thin">
        <color theme="0" tint="-0.499984740745262"/>
      </left>
      <right/>
      <top style="medium">
        <color theme="4" tint="-0.24994659260841701"/>
      </top>
      <bottom style="thin">
        <color theme="0" tint="-0.499984740745262"/>
      </bottom>
      <diagonal/>
    </border>
    <border>
      <left style="thin">
        <color theme="0" tint="-0.499984740745262"/>
      </left>
      <right style="medium">
        <color theme="4" tint="-0.24994659260841701"/>
      </right>
      <top style="medium">
        <color theme="4" tint="-0.24994659260841701"/>
      </top>
      <bottom style="thin">
        <color theme="0" tint="-0.499984740745262"/>
      </bottom>
      <diagonal/>
    </border>
    <border>
      <left style="medium">
        <color theme="4" tint="-0.24994659260841701"/>
      </left>
      <right/>
      <top style="medium">
        <color theme="4" tint="-0.24994659260841701"/>
      </top>
      <bottom style="medium">
        <color theme="4" tint="-0.24994659260841701"/>
      </bottom>
      <diagonal/>
    </border>
    <border>
      <left/>
      <right/>
      <top style="medium">
        <color theme="4" tint="-0.24994659260841701"/>
      </top>
      <bottom style="medium">
        <color theme="4" tint="-0.24994659260841701"/>
      </bottom>
      <diagonal/>
    </border>
    <border>
      <left/>
      <right style="medium">
        <color theme="4" tint="-0.24994659260841701"/>
      </right>
      <top style="medium">
        <color theme="4" tint="-0.24994659260841701"/>
      </top>
      <bottom style="medium">
        <color theme="4" tint="-0.24994659260841701"/>
      </bottom>
      <diagonal/>
    </border>
    <border>
      <left style="medium">
        <color theme="8" tint="-0.24994659260841701"/>
      </left>
      <right/>
      <top style="medium">
        <color theme="8" tint="-0.24994659260841701"/>
      </top>
      <bottom style="thin">
        <color theme="8" tint="0.39994506668294322"/>
      </bottom>
      <diagonal/>
    </border>
    <border>
      <left/>
      <right/>
      <top style="medium">
        <color theme="8" tint="-0.24994659260841701"/>
      </top>
      <bottom style="thin">
        <color theme="8" tint="0.39994506668294322"/>
      </bottom>
      <diagonal/>
    </border>
    <border>
      <left/>
      <right style="medium">
        <color theme="8" tint="-0.24994659260841701"/>
      </right>
      <top style="medium">
        <color theme="8" tint="-0.24994659260841701"/>
      </top>
      <bottom style="thin">
        <color theme="8" tint="0.39994506668294322"/>
      </bottom>
      <diagonal/>
    </border>
    <border>
      <left style="medium">
        <color theme="8" tint="-0.24994659260841701"/>
      </left>
      <right style="thin">
        <color theme="8" tint="0.39994506668294322"/>
      </right>
      <top style="thin">
        <color theme="8" tint="0.39994506668294322"/>
      </top>
      <bottom style="thin">
        <color theme="8" tint="0.39994506668294322"/>
      </bottom>
      <diagonal/>
    </border>
    <border>
      <left/>
      <right/>
      <top style="thin">
        <color theme="8" tint="0.39994506668294322"/>
      </top>
      <bottom style="thin">
        <color theme="8" tint="0.39994506668294322"/>
      </bottom>
      <diagonal/>
    </border>
    <border>
      <left style="thin">
        <color theme="8" tint="0.39994506668294322"/>
      </left>
      <right style="medium">
        <color theme="8" tint="-0.24994659260841701"/>
      </right>
      <top style="thin">
        <color theme="8" tint="0.39994506668294322"/>
      </top>
      <bottom style="thin">
        <color theme="8" tint="0.39994506668294322"/>
      </bottom>
      <diagonal/>
    </border>
    <border>
      <left style="medium">
        <color theme="4" tint="-0.24994659260841701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medium">
        <color theme="4" tint="-0.24994659260841701"/>
      </right>
      <top style="thin">
        <color theme="0" tint="-0.499984740745262"/>
      </top>
      <bottom style="thin">
        <color theme="0" tint="-0.499984740745262"/>
      </bottom>
      <diagonal/>
    </border>
    <border>
      <left style="medium">
        <color theme="4" tint="-0.24994659260841701"/>
      </left>
      <right style="thin">
        <color theme="0" tint="-0.499984740745262"/>
      </right>
      <top style="medium">
        <color theme="4" tint="-0.24994659260841701"/>
      </top>
      <bottom/>
      <diagonal/>
    </border>
    <border>
      <left style="thin">
        <color theme="0" tint="-0.499984740745262"/>
      </left>
      <right/>
      <top style="medium">
        <color theme="4" tint="-0.24994659260841701"/>
      </top>
      <bottom/>
      <diagonal/>
    </border>
    <border>
      <left style="thin">
        <color theme="0" tint="-0.499984740745262"/>
      </left>
      <right style="medium">
        <color theme="4" tint="-0.24994659260841701"/>
      </right>
      <top style="medium">
        <color theme="4" tint="-0.2499465926084170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double">
        <color indexed="64"/>
      </right>
      <top/>
      <bottom style="double">
        <color indexed="64"/>
      </bottom>
      <diagonal/>
    </border>
  </borders>
  <cellStyleXfs count="9">
    <xf numFmtId="0" fontId="0" fillId="0" borderId="0"/>
    <xf numFmtId="164" fontId="6" fillId="0" borderId="0" applyFont="0" applyFill="0" applyBorder="0" applyAlignment="0" applyProtection="0"/>
    <xf numFmtId="43" fontId="7" fillId="0" borderId="0" applyFont="0" applyFill="0" applyBorder="0" applyAlignment="0" applyProtection="0"/>
    <xf numFmtId="0" fontId="8" fillId="0" borderId="0" applyNumberFormat="0" applyFill="0" applyBorder="0" applyAlignment="0" applyProtection="0">
      <alignment vertical="top"/>
      <protection locked="0"/>
    </xf>
    <xf numFmtId="0" fontId="4" fillId="0" borderId="0"/>
    <xf numFmtId="0" fontId="1" fillId="0" borderId="0"/>
    <xf numFmtId="0" fontId="5" fillId="0" borderId="0"/>
    <xf numFmtId="0" fontId="76" fillId="0" borderId="0"/>
    <xf numFmtId="0" fontId="78" fillId="0" borderId="0"/>
  </cellStyleXfs>
  <cellXfs count="624">
    <xf numFmtId="0" fontId="0" fillId="0" borderId="0" xfId="0"/>
    <xf numFmtId="0" fontId="12" fillId="7" borderId="0" xfId="0" applyFont="1" applyFill="1"/>
    <xf numFmtId="0" fontId="14" fillId="7" borderId="0" xfId="0" applyFont="1" applyFill="1"/>
    <xf numFmtId="0" fontId="15" fillId="7" borderId="0" xfId="0" applyFont="1" applyFill="1" applyAlignment="1">
      <alignment horizontal="center"/>
    </xf>
    <xf numFmtId="0" fontId="15" fillId="7" borderId="0" xfId="0" applyFont="1" applyFill="1"/>
    <xf numFmtId="0" fontId="15" fillId="7" borderId="0" xfId="0" applyFont="1" applyFill="1" applyAlignment="1">
      <alignment vertical="center"/>
    </xf>
    <xf numFmtId="0" fontId="15" fillId="7" borderId="1" xfId="0" applyFont="1" applyFill="1" applyBorder="1" applyAlignment="1">
      <alignment horizontal="center"/>
    </xf>
    <xf numFmtId="0" fontId="3" fillId="0" borderId="0" xfId="0" applyFont="1"/>
    <xf numFmtId="0" fontId="10" fillId="12" borderId="0" xfId="0" applyFont="1" applyFill="1" applyProtection="1">
      <protection locked="0"/>
    </xf>
    <xf numFmtId="0" fontId="10" fillId="13" borderId="0" xfId="0" applyFont="1" applyFill="1" applyProtection="1">
      <protection locked="0"/>
    </xf>
    <xf numFmtId="0" fontId="16" fillId="13" borderId="0" xfId="3" applyFont="1" applyFill="1" applyAlignment="1" applyProtection="1">
      <alignment horizontal="center"/>
      <protection locked="0"/>
    </xf>
    <xf numFmtId="0" fontId="12" fillId="7" borderId="1" xfId="0" applyFont="1" applyFill="1" applyBorder="1"/>
    <xf numFmtId="0" fontId="12" fillId="7" borderId="1" xfId="0" applyFont="1" applyFill="1" applyBorder="1" applyAlignment="1">
      <alignment horizontal="center"/>
    </xf>
    <xf numFmtId="168" fontId="12" fillId="7" borderId="1" xfId="1" applyNumberFormat="1" applyFont="1" applyFill="1" applyBorder="1" applyAlignment="1">
      <alignment vertical="center"/>
    </xf>
    <xf numFmtId="168" fontId="15" fillId="7" borderId="0" xfId="1" applyNumberFormat="1" applyFont="1" applyFill="1" applyAlignment="1">
      <alignment horizontal="right"/>
    </xf>
    <xf numFmtId="0" fontId="0" fillId="12" borderId="0" xfId="0" applyFill="1"/>
    <xf numFmtId="0" fontId="12" fillId="12" borderId="0" xfId="0" applyFont="1" applyFill="1" applyProtection="1">
      <protection locked="0"/>
    </xf>
    <xf numFmtId="0" fontId="11" fillId="13" borderId="0" xfId="0" applyFont="1" applyFill="1" applyAlignment="1" applyProtection="1">
      <alignment horizontal="center" vertical="center"/>
      <protection locked="0"/>
    </xf>
    <xf numFmtId="0" fontId="11" fillId="12" borderId="0" xfId="0" applyFont="1" applyFill="1" applyAlignment="1" applyProtection="1">
      <alignment vertical="center"/>
      <protection locked="0"/>
    </xf>
    <xf numFmtId="3" fontId="12" fillId="13" borderId="0" xfId="0" applyNumberFormat="1" applyFont="1" applyFill="1" applyProtection="1">
      <protection locked="0"/>
    </xf>
    <xf numFmtId="0" fontId="15" fillId="7" borderId="2" xfId="0" applyFont="1" applyFill="1" applyBorder="1" applyAlignment="1">
      <alignment horizontal="center"/>
    </xf>
    <xf numFmtId="0" fontId="14" fillId="7" borderId="0" xfId="0" applyFont="1" applyFill="1" applyAlignment="1">
      <alignment horizontal="center" vertical="center"/>
    </xf>
    <xf numFmtId="167" fontId="12" fillId="7" borderId="1" xfId="1" applyNumberFormat="1" applyFont="1" applyFill="1" applyBorder="1" applyAlignment="1">
      <alignment vertical="center"/>
    </xf>
    <xf numFmtId="168" fontId="12" fillId="7" borderId="1" xfId="1" quotePrefix="1" applyNumberFormat="1" applyFont="1" applyFill="1" applyBorder="1" applyAlignment="1">
      <alignment vertical="center"/>
    </xf>
    <xf numFmtId="41" fontId="10" fillId="7" borderId="1" xfId="0" applyNumberFormat="1" applyFont="1" applyFill="1" applyBorder="1" applyAlignment="1">
      <alignment horizontal="center"/>
    </xf>
    <xf numFmtId="168" fontId="12" fillId="17" borderId="1" xfId="1" applyNumberFormat="1" applyFont="1" applyFill="1" applyBorder="1" applyAlignment="1">
      <alignment vertical="center"/>
    </xf>
    <xf numFmtId="0" fontId="10" fillId="19" borderId="0" xfId="0" applyFont="1" applyFill="1" applyProtection="1">
      <protection locked="0"/>
    </xf>
    <xf numFmtId="168" fontId="12" fillId="7" borderId="1" xfId="1" applyNumberFormat="1" applyFont="1" applyFill="1" applyBorder="1"/>
    <xf numFmtId="0" fontId="10" fillId="0" borderId="0" xfId="0" applyFont="1" applyProtection="1">
      <protection locked="0"/>
    </xf>
    <xf numFmtId="0" fontId="10" fillId="7" borderId="0" xfId="0" applyFont="1" applyFill="1" applyProtection="1">
      <protection locked="0"/>
    </xf>
    <xf numFmtId="0" fontId="10" fillId="7" borderId="12" xfId="0" quotePrefix="1" applyFont="1" applyFill="1" applyBorder="1" applyProtection="1">
      <protection locked="0"/>
    </xf>
    <xf numFmtId="0" fontId="11" fillId="0" borderId="1" xfId="0" applyFont="1" applyBorder="1" applyAlignment="1" applyProtection="1">
      <alignment vertical="center"/>
      <protection locked="0"/>
    </xf>
    <xf numFmtId="0" fontId="11" fillId="0" borderId="1" xfId="0" applyFont="1" applyBorder="1" applyAlignment="1" applyProtection="1">
      <alignment horizontal="center" vertical="center"/>
      <protection locked="0"/>
    </xf>
    <xf numFmtId="0" fontId="11" fillId="0" borderId="1" xfId="0" applyFont="1" applyBorder="1" applyAlignment="1" applyProtection="1">
      <alignment horizontal="center" vertical="center" wrapText="1"/>
      <protection locked="0"/>
    </xf>
    <xf numFmtId="0" fontId="11" fillId="0" borderId="1" xfId="0" applyFont="1" applyBorder="1" applyAlignment="1" applyProtection="1">
      <alignment horizontal="center"/>
      <protection locked="0"/>
    </xf>
    <xf numFmtId="0" fontId="12" fillId="0" borderId="1" xfId="0" applyFont="1" applyBorder="1" applyAlignment="1" applyProtection="1">
      <alignment horizontal="center"/>
      <protection locked="0"/>
    </xf>
    <xf numFmtId="0" fontId="16" fillId="13" borderId="0" xfId="5" applyFont="1" applyFill="1" applyAlignment="1" applyProtection="1">
      <alignment horizontal="center"/>
      <protection locked="0"/>
    </xf>
    <xf numFmtId="0" fontId="16" fillId="4" borderId="0" xfId="5" applyFont="1" applyFill="1" applyAlignment="1" applyProtection="1">
      <alignment horizontal="center"/>
      <protection locked="0"/>
    </xf>
    <xf numFmtId="0" fontId="16" fillId="5" borderId="0" xfId="5" applyFont="1" applyFill="1" applyAlignment="1" applyProtection="1">
      <alignment horizontal="center"/>
      <protection locked="0"/>
    </xf>
    <xf numFmtId="0" fontId="16" fillId="6" borderId="0" xfId="5" applyFont="1" applyFill="1" applyAlignment="1" applyProtection="1">
      <alignment horizontal="center"/>
      <protection locked="0"/>
    </xf>
    <xf numFmtId="0" fontId="10" fillId="13" borderId="0" xfId="5" applyFont="1" applyFill="1" applyProtection="1">
      <protection locked="0"/>
    </xf>
    <xf numFmtId="0" fontId="10" fillId="4" borderId="0" xfId="5" applyFont="1" applyFill="1" applyProtection="1">
      <protection locked="0"/>
    </xf>
    <xf numFmtId="0" fontId="10" fillId="5" borderId="0" xfId="5" applyFont="1" applyFill="1" applyProtection="1">
      <protection locked="0"/>
    </xf>
    <xf numFmtId="0" fontId="10" fillId="6" borderId="0" xfId="5" applyFont="1" applyFill="1" applyProtection="1">
      <protection locked="0"/>
    </xf>
    <xf numFmtId="0" fontId="10" fillId="13" borderId="0" xfId="4" applyFont="1" applyFill="1" applyAlignment="1" applyProtection="1">
      <alignment horizontal="center"/>
      <protection locked="0"/>
    </xf>
    <xf numFmtId="0" fontId="10" fillId="4" borderId="0" xfId="4" applyFont="1" applyFill="1" applyAlignment="1" applyProtection="1">
      <alignment horizontal="center"/>
      <protection locked="0"/>
    </xf>
    <xf numFmtId="0" fontId="10" fillId="5" borderId="0" xfId="4" applyFont="1" applyFill="1" applyAlignment="1" applyProtection="1">
      <alignment horizontal="center"/>
      <protection locked="0"/>
    </xf>
    <xf numFmtId="0" fontId="10" fillId="6" borderId="0" xfId="4" applyFont="1" applyFill="1" applyAlignment="1" applyProtection="1">
      <alignment horizontal="center"/>
      <protection locked="0"/>
    </xf>
    <xf numFmtId="0" fontId="10" fillId="13" borderId="0" xfId="5" applyFont="1" applyFill="1" applyAlignment="1" applyProtection="1">
      <alignment horizontal="center"/>
      <protection locked="0"/>
    </xf>
    <xf numFmtId="0" fontId="10" fillId="4" borderId="0" xfId="5" applyFont="1" applyFill="1" applyAlignment="1" applyProtection="1">
      <alignment horizontal="center"/>
      <protection locked="0"/>
    </xf>
    <xf numFmtId="0" fontId="10" fillId="5" borderId="0" xfId="5" applyFont="1" applyFill="1" applyAlignment="1" applyProtection="1">
      <alignment horizontal="center"/>
      <protection locked="0"/>
    </xf>
    <xf numFmtId="0" fontId="10" fillId="6" borderId="0" xfId="5" applyFont="1" applyFill="1" applyAlignment="1" applyProtection="1">
      <alignment horizontal="center"/>
      <protection locked="0"/>
    </xf>
    <xf numFmtId="0" fontId="10" fillId="0" borderId="0" xfId="5" applyFont="1" applyProtection="1">
      <protection locked="0"/>
    </xf>
    <xf numFmtId="0" fontId="11" fillId="2" borderId="0" xfId="5" applyFont="1" applyFill="1" applyAlignment="1" applyProtection="1">
      <alignment horizontal="center"/>
      <protection locked="0"/>
    </xf>
    <xf numFmtId="0" fontId="11" fillId="3" borderId="0" xfId="5" applyFont="1" applyFill="1" applyAlignment="1" applyProtection="1">
      <alignment horizontal="center"/>
      <protection locked="0"/>
    </xf>
    <xf numFmtId="0" fontId="11" fillId="4" borderId="17" xfId="5" applyFont="1" applyFill="1" applyBorder="1" applyAlignment="1" applyProtection="1">
      <alignment horizontal="center"/>
      <protection locked="0"/>
    </xf>
    <xf numFmtId="0" fontId="12" fillId="2" borderId="0" xfId="5" applyFont="1" applyFill="1" applyProtection="1">
      <protection locked="0"/>
    </xf>
    <xf numFmtId="0" fontId="12" fillId="3" borderId="0" xfId="5" applyFont="1" applyFill="1" applyProtection="1">
      <protection locked="0"/>
    </xf>
    <xf numFmtId="0" fontId="12" fillId="4" borderId="17" xfId="5" applyFont="1" applyFill="1" applyBorder="1" applyProtection="1">
      <protection locked="0"/>
    </xf>
    <xf numFmtId="0" fontId="12" fillId="3" borderId="0" xfId="4" applyFont="1" applyFill="1" applyAlignment="1" applyProtection="1">
      <alignment horizontal="center"/>
      <protection locked="0"/>
    </xf>
    <xf numFmtId="0" fontId="12" fillId="4" borderId="17" xfId="4" applyFont="1" applyFill="1" applyBorder="1" applyAlignment="1" applyProtection="1">
      <alignment horizontal="center"/>
      <protection locked="0"/>
    </xf>
    <xf numFmtId="0" fontId="12" fillId="3" borderId="0" xfId="5" applyFont="1" applyFill="1" applyAlignment="1" applyProtection="1">
      <alignment horizontal="center"/>
      <protection locked="0"/>
    </xf>
    <xf numFmtId="0" fontId="12" fillId="4" borderId="17" xfId="5" applyFont="1" applyFill="1" applyBorder="1" applyAlignment="1" applyProtection="1">
      <alignment horizontal="center"/>
      <protection locked="0"/>
    </xf>
    <xf numFmtId="165" fontId="11" fillId="0" borderId="18" xfId="6" applyNumberFormat="1" applyFont="1" applyBorder="1" applyProtection="1">
      <protection locked="0"/>
    </xf>
    <xf numFmtId="0" fontId="12" fillId="0" borderId="18" xfId="6" applyFont="1" applyBorder="1" applyProtection="1">
      <protection locked="0"/>
    </xf>
    <xf numFmtId="0" fontId="10" fillId="0" borderId="19" xfId="0" applyFont="1" applyBorder="1" applyProtection="1">
      <protection locked="0"/>
    </xf>
    <xf numFmtId="0" fontId="14" fillId="17" borderId="1" xfId="0" applyFont="1" applyFill="1" applyBorder="1" applyAlignment="1">
      <alignment horizontal="center" vertical="center" wrapText="1"/>
    </xf>
    <xf numFmtId="0" fontId="14" fillId="17" borderId="1" xfId="0" applyFont="1" applyFill="1" applyBorder="1" applyAlignment="1">
      <alignment horizontal="center" vertical="center"/>
    </xf>
    <xf numFmtId="0" fontId="23" fillId="17" borderId="1" xfId="0" quotePrefix="1" applyFont="1" applyFill="1" applyBorder="1" applyAlignment="1">
      <alignment horizontal="center" vertical="center" wrapText="1"/>
    </xf>
    <xf numFmtId="167" fontId="14" fillId="17" borderId="1" xfId="1" quotePrefix="1" applyNumberFormat="1" applyFont="1" applyFill="1" applyBorder="1" applyAlignment="1">
      <alignment horizontal="center" vertical="center" wrapText="1"/>
    </xf>
    <xf numFmtId="0" fontId="23" fillId="17" borderId="1" xfId="0" quotePrefix="1" applyFont="1" applyFill="1" applyBorder="1" applyAlignment="1">
      <alignment horizontal="center" vertical="center"/>
    </xf>
    <xf numFmtId="0" fontId="14" fillId="17" borderId="1" xfId="0" quotePrefix="1" applyFont="1" applyFill="1" applyBorder="1" applyAlignment="1">
      <alignment horizontal="center" vertical="center" wrapText="1"/>
    </xf>
    <xf numFmtId="0" fontId="23" fillId="17" borderId="1" xfId="0" applyFont="1" applyFill="1" applyBorder="1" applyAlignment="1">
      <alignment horizontal="center" vertical="center" wrapText="1"/>
    </xf>
    <xf numFmtId="168" fontId="23" fillId="17" borderId="1" xfId="1" applyNumberFormat="1" applyFont="1" applyFill="1" applyBorder="1" applyAlignment="1">
      <alignment horizontal="center" vertical="center" wrapText="1"/>
    </xf>
    <xf numFmtId="168" fontId="23" fillId="17" borderId="1" xfId="1" quotePrefix="1" applyNumberFormat="1" applyFont="1" applyFill="1" applyBorder="1" applyAlignment="1">
      <alignment horizontal="center" vertical="center" wrapText="1"/>
    </xf>
    <xf numFmtId="0" fontId="23" fillId="17" borderId="1" xfId="0" applyFont="1" applyFill="1" applyBorder="1" applyAlignment="1">
      <alignment horizontal="center" vertical="center"/>
    </xf>
    <xf numFmtId="164" fontId="12" fillId="7" borderId="1" xfId="1" applyFont="1" applyFill="1" applyBorder="1" applyAlignment="1">
      <alignment vertical="center"/>
    </xf>
    <xf numFmtId="168" fontId="12" fillId="0" borderId="1" xfId="1" applyNumberFormat="1" applyFont="1" applyBorder="1" applyProtection="1">
      <protection hidden="1"/>
    </xf>
    <xf numFmtId="167" fontId="11" fillId="0" borderId="1" xfId="1" applyNumberFormat="1" applyFont="1" applyBorder="1" applyAlignment="1" applyProtection="1">
      <protection hidden="1"/>
    </xf>
    <xf numFmtId="0" fontId="11" fillId="0" borderId="1" xfId="0" applyFont="1" applyBorder="1" applyAlignment="1" applyProtection="1">
      <alignment horizontal="left"/>
      <protection hidden="1"/>
    </xf>
    <xf numFmtId="0" fontId="11" fillId="0" borderId="1" xfId="0" applyFont="1" applyBorder="1" applyAlignment="1" applyProtection="1">
      <alignment horizontal="center"/>
      <protection hidden="1"/>
    </xf>
    <xf numFmtId="167" fontId="12" fillId="0" borderId="1" xfId="1" applyNumberFormat="1" applyFont="1" applyBorder="1" applyProtection="1">
      <protection hidden="1"/>
    </xf>
    <xf numFmtId="168" fontId="14" fillId="17" borderId="1" xfId="0" quotePrefix="1" applyNumberFormat="1" applyFont="1" applyFill="1" applyBorder="1" applyAlignment="1">
      <alignment horizontal="center" vertical="center" wrapText="1"/>
    </xf>
    <xf numFmtId="0" fontId="14" fillId="17" borderId="1" xfId="0" quotePrefix="1" applyFont="1" applyFill="1" applyBorder="1" applyAlignment="1">
      <alignment horizontal="center" vertical="center"/>
    </xf>
    <xf numFmtId="168" fontId="14" fillId="17" borderId="1" xfId="1" applyNumberFormat="1" applyFont="1" applyFill="1" applyBorder="1" applyAlignment="1">
      <alignment horizontal="center" vertical="center" wrapText="1"/>
    </xf>
    <xf numFmtId="168" fontId="14" fillId="17" borderId="1" xfId="1" applyNumberFormat="1" applyFont="1" applyFill="1" applyBorder="1" applyAlignment="1">
      <alignment horizontal="center" vertical="center"/>
    </xf>
    <xf numFmtId="168" fontId="14" fillId="17" borderId="1" xfId="1" quotePrefix="1" applyNumberFormat="1" applyFont="1" applyFill="1" applyBorder="1" applyAlignment="1">
      <alignment horizontal="center" vertical="center" wrapText="1"/>
    </xf>
    <xf numFmtId="49" fontId="15" fillId="7" borderId="0" xfId="0" applyNumberFormat="1" applyFont="1" applyFill="1" applyAlignment="1">
      <alignment vertical="center"/>
    </xf>
    <xf numFmtId="49" fontId="15" fillId="7" borderId="0" xfId="0" applyNumberFormat="1" applyFont="1" applyFill="1" applyAlignment="1">
      <alignment horizontal="center"/>
    </xf>
    <xf numFmtId="49" fontId="15" fillId="7" borderId="0" xfId="0" applyNumberFormat="1" applyFont="1" applyFill="1"/>
    <xf numFmtId="49" fontId="23" fillId="17" borderId="1" xfId="1" applyNumberFormat="1" applyFont="1" applyFill="1" applyBorder="1" applyAlignment="1">
      <alignment horizontal="center" vertical="center" wrapText="1"/>
    </xf>
    <xf numFmtId="0" fontId="0" fillId="9" borderId="0" xfId="0" applyFill="1" applyProtection="1">
      <protection locked="0"/>
    </xf>
    <xf numFmtId="14" fontId="0" fillId="9" borderId="0" xfId="0" applyNumberFormat="1" applyFill="1" applyAlignment="1" applyProtection="1">
      <alignment horizontal="left" vertical="center"/>
      <protection locked="0"/>
    </xf>
    <xf numFmtId="0" fontId="0" fillId="0" borderId="0" xfId="0" applyProtection="1">
      <protection locked="0"/>
    </xf>
    <xf numFmtId="169" fontId="31" fillId="15" borderId="20" xfId="0" applyNumberFormat="1" applyFont="1" applyFill="1" applyBorder="1" applyAlignment="1" applyProtection="1">
      <alignment horizontal="center" vertical="center"/>
      <protection locked="0"/>
    </xf>
    <xf numFmtId="169" fontId="31" fillId="11" borderId="22" xfId="0" applyNumberFormat="1" applyFont="1" applyFill="1" applyBorder="1" applyAlignment="1" applyProtection="1">
      <alignment horizontal="center" vertical="center"/>
      <protection locked="0"/>
    </xf>
    <xf numFmtId="0" fontId="33" fillId="18" borderId="20" xfId="0" applyFont="1" applyFill="1" applyBorder="1" applyAlignment="1" applyProtection="1">
      <alignment horizontal="center" vertical="center" wrapText="1"/>
      <protection locked="0"/>
    </xf>
    <xf numFmtId="2" fontId="0" fillId="9" borderId="0" xfId="0" applyNumberFormat="1" applyFill="1" applyProtection="1">
      <protection locked="0"/>
    </xf>
    <xf numFmtId="0" fontId="0" fillId="9" borderId="0" xfId="0" applyFill="1" applyAlignment="1" applyProtection="1">
      <alignment horizontal="center"/>
      <protection locked="0"/>
    </xf>
    <xf numFmtId="170" fontId="0" fillId="9" borderId="0" xfId="0" applyNumberFormat="1" applyFill="1" applyProtection="1">
      <protection locked="0"/>
    </xf>
    <xf numFmtId="169" fontId="35" fillId="27" borderId="33" xfId="0" applyNumberFormat="1" applyFont="1" applyFill="1" applyBorder="1" applyAlignment="1" applyProtection="1">
      <alignment horizontal="center" vertical="center"/>
      <protection locked="0"/>
    </xf>
    <xf numFmtId="0" fontId="0" fillId="27" borderId="34" xfId="0" applyFill="1" applyBorder="1" applyAlignment="1" applyProtection="1">
      <alignment horizontal="center" vertical="center"/>
      <protection locked="0"/>
    </xf>
    <xf numFmtId="169" fontId="35" fillId="29" borderId="33" xfId="0" applyNumberFormat="1" applyFont="1" applyFill="1" applyBorder="1" applyAlignment="1" applyProtection="1">
      <alignment horizontal="center" vertical="center"/>
      <protection locked="0"/>
    </xf>
    <xf numFmtId="0" fontId="0" fillId="29" borderId="34" xfId="0" applyFill="1" applyBorder="1" applyAlignment="1" applyProtection="1">
      <alignment horizontal="center" vertical="center"/>
      <protection locked="0"/>
    </xf>
    <xf numFmtId="169" fontId="35" fillId="30" borderId="33" xfId="0" applyNumberFormat="1" applyFont="1" applyFill="1" applyBorder="1" applyAlignment="1" applyProtection="1">
      <alignment horizontal="center" vertical="center"/>
      <protection locked="0"/>
    </xf>
    <xf numFmtId="0" fontId="0" fillId="30" borderId="1" xfId="0" applyFill="1" applyBorder="1" applyAlignment="1" applyProtection="1">
      <alignment horizontal="center" vertical="center"/>
      <protection locked="0"/>
    </xf>
    <xf numFmtId="169" fontId="35" fillId="31" borderId="1" xfId="0" applyNumberFormat="1" applyFont="1" applyFill="1" applyBorder="1" applyAlignment="1" applyProtection="1">
      <alignment horizontal="center" vertical="center"/>
      <protection locked="0"/>
    </xf>
    <xf numFmtId="0" fontId="0" fillId="31" borderId="34" xfId="0" applyFill="1" applyBorder="1" applyAlignment="1" applyProtection="1">
      <alignment horizontal="center" vertical="center"/>
      <protection locked="0"/>
    </xf>
    <xf numFmtId="14" fontId="0" fillId="9" borderId="0" xfId="0" applyNumberFormat="1" applyFill="1" applyProtection="1">
      <protection locked="0"/>
    </xf>
    <xf numFmtId="170" fontId="35" fillId="9" borderId="0" xfId="0" applyNumberFormat="1" applyFont="1" applyFill="1" applyAlignment="1" applyProtection="1">
      <alignment horizontal="center" vertical="center"/>
      <protection locked="0"/>
    </xf>
    <xf numFmtId="169" fontId="0" fillId="9" borderId="0" xfId="0" applyNumberFormat="1" applyFill="1" applyProtection="1">
      <protection locked="0"/>
    </xf>
    <xf numFmtId="169" fontId="35" fillId="27" borderId="35" xfId="0" applyNumberFormat="1" applyFont="1" applyFill="1" applyBorder="1" applyAlignment="1" applyProtection="1">
      <alignment horizontal="center" vertical="center"/>
      <protection locked="0"/>
    </xf>
    <xf numFmtId="0" fontId="0" fillId="27" borderId="36" xfId="0" applyFill="1" applyBorder="1" applyAlignment="1" applyProtection="1">
      <alignment horizontal="center" vertical="center"/>
      <protection locked="0"/>
    </xf>
    <xf numFmtId="169" fontId="35" fillId="29" borderId="35" xfId="0" applyNumberFormat="1" applyFont="1" applyFill="1" applyBorder="1" applyAlignment="1" applyProtection="1">
      <alignment horizontal="center" vertical="center"/>
      <protection locked="0"/>
    </xf>
    <xf numFmtId="0" fontId="0" fillId="29" borderId="36" xfId="0" applyFill="1" applyBorder="1" applyAlignment="1" applyProtection="1">
      <alignment horizontal="center" vertical="center"/>
      <protection locked="0"/>
    </xf>
    <xf numFmtId="169" fontId="35" fillId="30" borderId="35" xfId="0" applyNumberFormat="1" applyFont="1" applyFill="1" applyBorder="1" applyAlignment="1" applyProtection="1">
      <alignment horizontal="center" vertical="center"/>
      <protection locked="0"/>
    </xf>
    <xf numFmtId="0" fontId="0" fillId="30" borderId="37" xfId="0" applyFill="1" applyBorder="1" applyAlignment="1" applyProtection="1">
      <alignment horizontal="center" vertical="center"/>
      <protection locked="0"/>
    </xf>
    <xf numFmtId="169" fontId="35" fillId="31" borderId="37" xfId="0" applyNumberFormat="1" applyFont="1" applyFill="1" applyBorder="1" applyAlignment="1" applyProtection="1">
      <alignment horizontal="center" vertical="center"/>
      <protection locked="0"/>
    </xf>
    <xf numFmtId="0" fontId="0" fillId="31" borderId="36" xfId="0" applyFill="1" applyBorder="1" applyAlignment="1" applyProtection="1">
      <alignment horizontal="center" vertical="center"/>
      <protection locked="0"/>
    </xf>
    <xf numFmtId="0" fontId="0" fillId="9" borderId="0" xfId="0" applyFill="1" applyAlignment="1" applyProtection="1">
      <alignment horizontal="center" vertical="center"/>
      <protection locked="0"/>
    </xf>
    <xf numFmtId="14" fontId="0" fillId="9" borderId="0" xfId="0" quotePrefix="1" applyNumberFormat="1" applyFill="1" applyAlignment="1" applyProtection="1">
      <alignment horizontal="center" vertical="center"/>
      <protection locked="0"/>
    </xf>
    <xf numFmtId="0" fontId="35" fillId="32" borderId="53" xfId="0" applyFont="1" applyFill="1" applyBorder="1" applyAlignment="1" applyProtection="1">
      <alignment horizontal="center" vertical="center"/>
      <protection locked="0"/>
    </xf>
    <xf numFmtId="0" fontId="35" fillId="32" borderId="55" xfId="0" applyFont="1" applyFill="1" applyBorder="1" applyAlignment="1" applyProtection="1">
      <alignment horizontal="center" vertical="center"/>
      <protection locked="0"/>
    </xf>
    <xf numFmtId="0" fontId="35" fillId="32" borderId="56" xfId="0" applyFont="1" applyFill="1" applyBorder="1" applyAlignment="1" applyProtection="1">
      <alignment horizontal="center" vertical="center"/>
      <protection locked="0"/>
    </xf>
    <xf numFmtId="14" fontId="35" fillId="15" borderId="57" xfId="0" applyNumberFormat="1" applyFont="1" applyFill="1" applyBorder="1" applyAlignment="1" applyProtection="1">
      <alignment horizontal="center" vertical="center"/>
      <protection locked="0"/>
    </xf>
    <xf numFmtId="0" fontId="35" fillId="15" borderId="39" xfId="0" applyFont="1" applyFill="1" applyBorder="1" applyAlignment="1" applyProtection="1">
      <alignment horizontal="center" vertical="center"/>
      <protection locked="0"/>
    </xf>
    <xf numFmtId="0" fontId="35" fillId="15" borderId="58" xfId="0" applyFont="1" applyFill="1" applyBorder="1" applyAlignment="1" applyProtection="1">
      <alignment horizontal="center" vertical="center"/>
      <protection locked="0"/>
    </xf>
    <xf numFmtId="0" fontId="35" fillId="15" borderId="59" xfId="0" applyFont="1" applyFill="1" applyBorder="1" applyAlignment="1" applyProtection="1">
      <alignment horizontal="center" vertical="center"/>
      <protection locked="0"/>
    </xf>
    <xf numFmtId="0" fontId="35" fillId="27" borderId="49" xfId="0" applyFont="1" applyFill="1" applyBorder="1" applyAlignment="1" applyProtection="1">
      <alignment horizontal="center" vertical="center"/>
      <protection locked="0"/>
    </xf>
    <xf numFmtId="0" fontId="35" fillId="27" borderId="50" xfId="0" applyFont="1" applyFill="1" applyBorder="1" applyAlignment="1" applyProtection="1">
      <alignment horizontal="center" vertical="center"/>
      <protection locked="0"/>
    </xf>
    <xf numFmtId="0" fontId="35" fillId="27" borderId="51" xfId="0" applyFont="1" applyFill="1" applyBorder="1" applyAlignment="1" applyProtection="1">
      <alignment horizontal="center" vertical="center"/>
      <protection locked="0"/>
    </xf>
    <xf numFmtId="0" fontId="0" fillId="0" borderId="53" xfId="0" quotePrefix="1" applyBorder="1" applyProtection="1">
      <protection locked="0"/>
    </xf>
    <xf numFmtId="0" fontId="0" fillId="0" borderId="53" xfId="0" applyBorder="1" applyProtection="1">
      <protection locked="0"/>
    </xf>
    <xf numFmtId="0" fontId="0" fillId="0" borderId="53" xfId="0" applyBorder="1" applyAlignment="1" applyProtection="1">
      <alignment horizontal="center"/>
      <protection locked="0"/>
    </xf>
    <xf numFmtId="170" fontId="0" fillId="0" borderId="53" xfId="0" applyNumberFormat="1" applyBorder="1" applyAlignment="1" applyProtection="1">
      <alignment horizontal="center"/>
      <protection locked="0"/>
    </xf>
    <xf numFmtId="169" fontId="0" fillId="0" borderId="53" xfId="0" applyNumberFormat="1" applyBorder="1" applyAlignment="1" applyProtection="1">
      <alignment horizontal="center"/>
      <protection locked="0"/>
    </xf>
    <xf numFmtId="14" fontId="0" fillId="0" borderId="52" xfId="0" quotePrefix="1" applyNumberFormat="1" applyBorder="1" applyAlignment="1" applyProtection="1">
      <alignment horizontal="left" vertical="center"/>
      <protection locked="0"/>
    </xf>
    <xf numFmtId="0" fontId="0" fillId="0" borderId="55" xfId="0" quotePrefix="1" applyBorder="1" applyProtection="1">
      <protection locked="0"/>
    </xf>
    <xf numFmtId="0" fontId="0" fillId="0" borderId="56" xfId="0" applyBorder="1" applyProtection="1">
      <protection locked="0"/>
    </xf>
    <xf numFmtId="14" fontId="0" fillId="9" borderId="0" xfId="0" quotePrefix="1" applyNumberFormat="1" applyFill="1" applyAlignment="1" applyProtection="1">
      <alignment horizontal="left" vertical="center"/>
      <protection locked="0"/>
    </xf>
    <xf numFmtId="0" fontId="7" fillId="0" borderId="49" xfId="0" quotePrefix="1" applyFont="1" applyBorder="1" applyProtection="1">
      <protection locked="0"/>
    </xf>
    <xf numFmtId="0" fontId="7" fillId="0" borderId="50" xfId="0" applyFont="1" applyBorder="1" applyProtection="1">
      <protection locked="0"/>
    </xf>
    <xf numFmtId="0" fontId="7" fillId="0" borderId="51" xfId="0" applyFont="1" applyBorder="1" applyProtection="1">
      <protection locked="0"/>
    </xf>
    <xf numFmtId="0" fontId="0" fillId="0" borderId="55" xfId="0" applyBorder="1" applyProtection="1">
      <protection locked="0"/>
    </xf>
    <xf numFmtId="0" fontId="7" fillId="0" borderId="49" xfId="0" applyFont="1" applyBorder="1" applyProtection="1">
      <protection locked="0"/>
    </xf>
    <xf numFmtId="14" fontId="7" fillId="0" borderId="51" xfId="0" applyNumberFormat="1" applyFont="1" applyBorder="1" applyProtection="1">
      <protection locked="0"/>
    </xf>
    <xf numFmtId="0" fontId="37" fillId="0" borderId="1" xfId="0" quotePrefix="1" applyFont="1" applyBorder="1" applyAlignment="1">
      <alignment horizontal="right"/>
    </xf>
    <xf numFmtId="0" fontId="11" fillId="7" borderId="0" xfId="0" applyFont="1" applyFill="1" applyProtection="1">
      <protection locked="0"/>
    </xf>
    <xf numFmtId="0" fontId="12" fillId="7" borderId="0" xfId="0" applyFont="1" applyFill="1" applyProtection="1">
      <protection locked="0"/>
    </xf>
    <xf numFmtId="0" fontId="12" fillId="7" borderId="0" xfId="0" applyFont="1" applyFill="1" applyAlignment="1" applyProtection="1">
      <alignment horizontal="center"/>
      <protection locked="0"/>
    </xf>
    <xf numFmtId="0" fontId="12" fillId="0" borderId="0" xfId="0" applyFont="1" applyProtection="1">
      <protection locked="0"/>
    </xf>
    <xf numFmtId="0" fontId="19" fillId="7" borderId="0" xfId="0" applyFont="1" applyFill="1" applyProtection="1">
      <protection locked="0"/>
    </xf>
    <xf numFmtId="0" fontId="43" fillId="34" borderId="0" xfId="0" applyFont="1" applyFill="1" applyProtection="1">
      <protection locked="0"/>
    </xf>
    <xf numFmtId="0" fontId="9" fillId="34" borderId="0" xfId="0" applyFont="1" applyFill="1" applyProtection="1">
      <protection locked="0"/>
    </xf>
    <xf numFmtId="0" fontId="13" fillId="7" borderId="0" xfId="0" applyFont="1" applyFill="1" applyAlignment="1" applyProtection="1">
      <alignment horizontal="center"/>
      <protection locked="0"/>
    </xf>
    <xf numFmtId="0" fontId="9" fillId="7" borderId="0" xfId="0" applyFont="1" applyFill="1" applyProtection="1">
      <protection locked="0"/>
    </xf>
    <xf numFmtId="0" fontId="44" fillId="11" borderId="1" xfId="0" applyFont="1" applyFill="1" applyBorder="1" applyAlignment="1" applyProtection="1">
      <alignment horizontal="center" vertical="center"/>
      <protection locked="0"/>
    </xf>
    <xf numFmtId="0" fontId="10" fillId="0" borderId="0" xfId="0" applyFont="1" applyAlignment="1" applyProtection="1">
      <alignment vertical="center"/>
      <protection locked="0"/>
    </xf>
    <xf numFmtId="0" fontId="45" fillId="11" borderId="1" xfId="0" applyFont="1" applyFill="1" applyBorder="1" applyAlignment="1" applyProtection="1">
      <alignment vertical="center" wrapText="1"/>
      <protection locked="0"/>
    </xf>
    <xf numFmtId="0" fontId="2" fillId="11" borderId="3" xfId="0" applyFont="1" applyFill="1" applyBorder="1" applyAlignment="1" applyProtection="1">
      <alignment vertical="center" wrapText="1"/>
      <protection locked="0"/>
    </xf>
    <xf numFmtId="0" fontId="44" fillId="11" borderId="1" xfId="0" applyFont="1" applyFill="1" applyBorder="1" applyAlignment="1" applyProtection="1">
      <alignment vertical="center" wrapText="1"/>
      <protection locked="0"/>
    </xf>
    <xf numFmtId="0" fontId="45" fillId="11" borderId="1" xfId="0" applyFont="1" applyFill="1" applyBorder="1" applyAlignment="1" applyProtection="1">
      <alignment horizontal="center" vertical="center"/>
      <protection locked="0"/>
    </xf>
    <xf numFmtId="0" fontId="2" fillId="11" borderId="1" xfId="0" applyFont="1" applyFill="1" applyBorder="1" applyAlignment="1" applyProtection="1">
      <alignment horizontal="center" vertical="center"/>
      <protection locked="0"/>
    </xf>
    <xf numFmtId="0" fontId="45" fillId="16" borderId="1" xfId="0" applyFont="1" applyFill="1" applyBorder="1" applyProtection="1">
      <protection locked="0"/>
    </xf>
    <xf numFmtId="0" fontId="2" fillId="16" borderId="1" xfId="0" applyFont="1" applyFill="1" applyBorder="1" applyProtection="1">
      <protection locked="0"/>
    </xf>
    <xf numFmtId="0" fontId="44" fillId="16" borderId="1" xfId="0" applyFont="1" applyFill="1" applyBorder="1" applyProtection="1">
      <protection locked="0"/>
    </xf>
    <xf numFmtId="0" fontId="45" fillId="36" borderId="1" xfId="0" applyFont="1" applyFill="1" applyBorder="1" applyProtection="1">
      <protection locked="0"/>
    </xf>
    <xf numFmtId="0" fontId="2" fillId="36" borderId="1" xfId="0" applyFont="1" applyFill="1" applyBorder="1" applyProtection="1">
      <protection locked="0"/>
    </xf>
    <xf numFmtId="0" fontId="44" fillId="36" borderId="1" xfId="0" applyFont="1" applyFill="1" applyBorder="1" applyProtection="1">
      <protection locked="0"/>
    </xf>
    <xf numFmtId="0" fontId="21" fillId="0" borderId="1" xfId="0" applyFont="1" applyBorder="1" applyProtection="1">
      <protection locked="0"/>
    </xf>
    <xf numFmtId="0" fontId="10" fillId="7" borderId="1" xfId="0" applyFont="1" applyFill="1" applyBorder="1" applyProtection="1">
      <protection locked="0"/>
    </xf>
    <xf numFmtId="0" fontId="17" fillId="7" borderId="1" xfId="0" applyFont="1" applyFill="1" applyBorder="1" applyProtection="1">
      <protection locked="0"/>
    </xf>
    <xf numFmtId="0" fontId="9" fillId="7" borderId="1" xfId="0" applyFont="1" applyFill="1" applyBorder="1" applyProtection="1">
      <protection locked="0"/>
    </xf>
    <xf numFmtId="0" fontId="48" fillId="7" borderId="1" xfId="0" applyFont="1" applyFill="1" applyBorder="1" applyProtection="1">
      <protection locked="0"/>
    </xf>
    <xf numFmtId="0" fontId="21" fillId="7" borderId="1" xfId="0" applyFont="1" applyFill="1" applyBorder="1" applyProtection="1">
      <protection locked="0"/>
    </xf>
    <xf numFmtId="0" fontId="9" fillId="7" borderId="0" xfId="0" applyFont="1" applyFill="1" applyAlignment="1" applyProtection="1">
      <alignment horizontal="center"/>
      <protection locked="0"/>
    </xf>
    <xf numFmtId="0" fontId="49" fillId="7" borderId="0" xfId="0" applyFont="1" applyFill="1" applyProtection="1">
      <protection locked="0"/>
    </xf>
    <xf numFmtId="0" fontId="48" fillId="7" borderId="0" xfId="0" applyFont="1" applyFill="1" applyProtection="1">
      <protection locked="0"/>
    </xf>
    <xf numFmtId="0" fontId="39" fillId="0" borderId="0" xfId="0" applyFont="1"/>
    <xf numFmtId="0" fontId="49" fillId="0" borderId="1" xfId="0" applyFont="1" applyBorder="1" applyAlignment="1">
      <alignment horizontal="center"/>
    </xf>
    <xf numFmtId="0" fontId="49" fillId="7" borderId="1" xfId="0" applyFont="1" applyFill="1" applyBorder="1" applyAlignment="1">
      <alignment horizontal="left" vertical="center"/>
    </xf>
    <xf numFmtId="165" fontId="49" fillId="0" borderId="1" xfId="1" applyNumberFormat="1" applyFont="1" applyBorder="1" applyAlignment="1">
      <alignment horizontal="right"/>
    </xf>
    <xf numFmtId="0" fontId="49" fillId="0" borderId="0" xfId="0" applyFont="1"/>
    <xf numFmtId="165" fontId="54" fillId="15" borderId="1" xfId="1" applyNumberFormat="1" applyFont="1" applyFill="1" applyBorder="1" applyAlignment="1">
      <alignment horizontal="right"/>
    </xf>
    <xf numFmtId="0" fontId="54" fillId="0" borderId="0" xfId="0" applyFont="1"/>
    <xf numFmtId="0" fontId="37" fillId="0" borderId="1" xfId="0" applyFont="1" applyBorder="1" applyAlignment="1">
      <alignment horizontal="center"/>
    </xf>
    <xf numFmtId="0" fontId="37" fillId="0" borderId="0" xfId="0" applyFont="1"/>
    <xf numFmtId="0" fontId="37" fillId="7" borderId="1" xfId="0" applyFont="1" applyFill="1" applyBorder="1" applyAlignment="1">
      <alignment horizontal="left" vertical="center"/>
    </xf>
    <xf numFmtId="0" fontId="37" fillId="7" borderId="4" xfId="0" applyFont="1" applyFill="1" applyBorder="1" applyAlignment="1">
      <alignment horizontal="left"/>
    </xf>
    <xf numFmtId="168" fontId="37" fillId="7" borderId="4" xfId="1" applyNumberFormat="1" applyFont="1" applyFill="1" applyBorder="1" applyAlignment="1">
      <alignment horizontal="left"/>
    </xf>
    <xf numFmtId="165" fontId="55" fillId="0" borderId="1" xfId="1" applyNumberFormat="1" applyFont="1" applyBorder="1"/>
    <xf numFmtId="0" fontId="37" fillId="0" borderId="1" xfId="0" applyFont="1" applyBorder="1"/>
    <xf numFmtId="168" fontId="55" fillId="7" borderId="1" xfId="0" applyNumberFormat="1" applyFont="1" applyFill="1" applyBorder="1"/>
    <xf numFmtId="165" fontId="55" fillId="7" borderId="1" xfId="0" applyNumberFormat="1" applyFont="1" applyFill="1" applyBorder="1"/>
    <xf numFmtId="165" fontId="37" fillId="0" borderId="0" xfId="0" applyNumberFormat="1" applyFont="1"/>
    <xf numFmtId="14" fontId="0" fillId="0" borderId="53" xfId="0" applyNumberFormat="1" applyBorder="1" applyProtection="1">
      <protection locked="0"/>
    </xf>
    <xf numFmtId="14" fontId="0" fillId="0" borderId="53" xfId="0" applyNumberFormat="1" applyBorder="1" applyAlignment="1" applyProtection="1">
      <alignment horizontal="center"/>
      <protection locked="0"/>
    </xf>
    <xf numFmtId="0" fontId="0" fillId="0" borderId="55" xfId="0" applyBorder="1" applyAlignment="1" applyProtection="1">
      <alignment horizontal="center"/>
      <protection locked="0"/>
    </xf>
    <xf numFmtId="0" fontId="0" fillId="31" borderId="56" xfId="0" applyFill="1" applyBorder="1" applyAlignment="1" applyProtection="1">
      <alignment horizontal="center"/>
      <protection locked="0"/>
    </xf>
    <xf numFmtId="0" fontId="0" fillId="0" borderId="56" xfId="0" applyBorder="1" applyAlignment="1" applyProtection="1">
      <alignment horizontal="center"/>
      <protection locked="0"/>
    </xf>
    <xf numFmtId="0" fontId="44" fillId="0" borderId="1" xfId="0" applyFont="1" applyBorder="1" applyAlignment="1" applyProtection="1">
      <alignment horizontal="center"/>
      <protection locked="0"/>
    </xf>
    <xf numFmtId="0" fontId="44" fillId="7" borderId="1" xfId="0" applyFont="1" applyFill="1" applyBorder="1" applyAlignment="1" applyProtection="1">
      <alignment horizontal="center"/>
      <protection locked="0"/>
    </xf>
    <xf numFmtId="172" fontId="45" fillId="35" borderId="1" xfId="0" applyNumberFormat="1" applyFont="1" applyFill="1" applyBorder="1" applyProtection="1">
      <protection locked="0"/>
    </xf>
    <xf numFmtId="172" fontId="45" fillId="13" borderId="1" xfId="0" applyNumberFormat="1" applyFont="1" applyFill="1" applyBorder="1" applyProtection="1">
      <protection locked="0"/>
    </xf>
    <xf numFmtId="172" fontId="2" fillId="13" borderId="1" xfId="0" applyNumberFormat="1" applyFont="1" applyFill="1" applyBorder="1" applyProtection="1">
      <protection locked="0"/>
    </xf>
    <xf numFmtId="172" fontId="45" fillId="18" borderId="1" xfId="0" applyNumberFormat="1" applyFont="1" applyFill="1" applyBorder="1" applyProtection="1">
      <protection locked="0"/>
    </xf>
    <xf numFmtId="172" fontId="2" fillId="18" borderId="1" xfId="0" applyNumberFormat="1" applyFont="1" applyFill="1" applyBorder="1" applyProtection="1">
      <protection locked="0"/>
    </xf>
    <xf numFmtId="172" fontId="44" fillId="18" borderId="1" xfId="0" applyNumberFormat="1" applyFont="1" applyFill="1" applyBorder="1" applyProtection="1">
      <protection locked="0"/>
    </xf>
    <xf numFmtId="0" fontId="47" fillId="7" borderId="1" xfId="0" applyFont="1" applyFill="1" applyBorder="1" applyProtection="1">
      <protection locked="0"/>
    </xf>
    <xf numFmtId="0" fontId="30" fillId="22" borderId="20" xfId="0" applyFont="1" applyFill="1" applyBorder="1" applyAlignment="1" applyProtection="1">
      <alignment vertical="center" wrapText="1"/>
      <protection locked="0"/>
    </xf>
    <xf numFmtId="0" fontId="30" fillId="23" borderId="20" xfId="0" applyFont="1" applyFill="1" applyBorder="1" applyAlignment="1" applyProtection="1">
      <alignment vertical="center" wrapText="1"/>
      <protection locked="0"/>
    </xf>
    <xf numFmtId="0" fontId="34" fillId="17" borderId="31" xfId="0" applyFont="1" applyFill="1" applyBorder="1" applyAlignment="1" applyProtection="1">
      <alignment horizontal="center" vertical="center"/>
      <protection locked="0"/>
    </xf>
    <xf numFmtId="0" fontId="34" fillId="17" borderId="32" xfId="0" applyFont="1" applyFill="1" applyBorder="1" applyAlignment="1" applyProtection="1">
      <alignment horizontal="center" vertical="center" wrapText="1"/>
      <protection locked="0"/>
    </xf>
    <xf numFmtId="0" fontId="34" fillId="18" borderId="31" xfId="0" applyFont="1" applyFill="1" applyBorder="1" applyAlignment="1" applyProtection="1">
      <alignment horizontal="center" vertical="center"/>
      <protection locked="0"/>
    </xf>
    <xf numFmtId="0" fontId="34" fillId="18" borderId="32" xfId="0" applyFont="1" applyFill="1" applyBorder="1" applyAlignment="1" applyProtection="1">
      <alignment horizontal="center" vertical="center" wrapText="1"/>
      <protection locked="0"/>
    </xf>
    <xf numFmtId="0" fontId="34" fillId="28" borderId="31" xfId="0" applyFont="1" applyFill="1" applyBorder="1" applyAlignment="1" applyProtection="1">
      <alignment horizontal="center" vertical="center"/>
      <protection locked="0"/>
    </xf>
    <xf numFmtId="0" fontId="34" fillId="28" borderId="7" xfId="0" applyFont="1" applyFill="1" applyBorder="1" applyAlignment="1" applyProtection="1">
      <alignment horizontal="center" vertical="center" wrapText="1"/>
      <protection locked="0"/>
    </xf>
    <xf numFmtId="0" fontId="35" fillId="10" borderId="7" xfId="0" applyFont="1" applyFill="1" applyBorder="1" applyAlignment="1" applyProtection="1">
      <alignment horizontal="center" vertical="center"/>
      <protection locked="0"/>
    </xf>
    <xf numFmtId="0" fontId="35" fillId="10" borderId="32" xfId="0" applyFont="1" applyFill="1" applyBorder="1" applyAlignment="1" applyProtection="1">
      <alignment horizontal="center" vertical="center" wrapText="1"/>
      <protection locked="0"/>
    </xf>
    <xf numFmtId="49" fontId="0" fillId="9" borderId="0" xfId="0" applyNumberFormat="1" applyFill="1" applyProtection="1">
      <protection locked="0"/>
    </xf>
    <xf numFmtId="49" fontId="0" fillId="0" borderId="53" xfId="0" quotePrefix="1" applyNumberFormat="1" applyBorder="1" applyProtection="1">
      <protection locked="0"/>
    </xf>
    <xf numFmtId="49" fontId="0" fillId="0" borderId="53" xfId="0" applyNumberFormat="1" applyBorder="1" applyProtection="1">
      <protection locked="0"/>
    </xf>
    <xf numFmtId="14" fontId="29" fillId="27" borderId="30" xfId="0" applyNumberFormat="1" applyFont="1" applyFill="1" applyBorder="1" applyAlignment="1" applyProtection="1">
      <alignment horizontal="center" vertical="center"/>
      <protection locked="0"/>
    </xf>
    <xf numFmtId="14" fontId="29" fillId="27" borderId="26" xfId="0" applyNumberFormat="1" applyFont="1" applyFill="1" applyBorder="1" applyAlignment="1" applyProtection="1">
      <alignment horizontal="center" vertical="center"/>
      <protection locked="0"/>
    </xf>
    <xf numFmtId="173" fontId="28" fillId="20" borderId="20" xfId="0" applyNumberFormat="1" applyFont="1" applyFill="1" applyBorder="1" applyAlignment="1" applyProtection="1">
      <alignment horizontal="left" vertical="center"/>
      <protection locked="0"/>
    </xf>
    <xf numFmtId="173" fontId="0" fillId="9" borderId="0" xfId="0" applyNumberFormat="1" applyFill="1" applyProtection="1">
      <protection locked="0"/>
    </xf>
    <xf numFmtId="173" fontId="0" fillId="0" borderId="52" xfId="0" quotePrefix="1" applyNumberFormat="1" applyBorder="1" applyProtection="1">
      <protection locked="0"/>
    </xf>
    <xf numFmtId="173" fontId="0" fillId="0" borderId="52" xfId="0" applyNumberFormat="1" applyBorder="1" applyProtection="1">
      <protection locked="0"/>
    </xf>
    <xf numFmtId="14" fontId="9" fillId="7" borderId="0" xfId="0" applyNumberFormat="1" applyFont="1" applyFill="1" applyProtection="1">
      <protection locked="0"/>
    </xf>
    <xf numFmtId="168" fontId="12" fillId="17" borderId="1" xfId="1" quotePrefix="1" applyNumberFormat="1" applyFont="1" applyFill="1" applyBorder="1" applyAlignment="1">
      <alignment vertical="center"/>
    </xf>
    <xf numFmtId="167" fontId="12" fillId="17" borderId="1" xfId="1" quotePrefix="1" applyNumberFormat="1" applyFont="1" applyFill="1" applyBorder="1" applyAlignment="1">
      <alignment vertical="center"/>
    </xf>
    <xf numFmtId="165" fontId="56" fillId="0" borderId="1" xfId="1" applyNumberFormat="1" applyFont="1" applyBorder="1" applyAlignment="1">
      <alignment horizontal="right"/>
    </xf>
    <xf numFmtId="165" fontId="54" fillId="7" borderId="3" xfId="1" applyNumberFormat="1" applyFont="1" applyFill="1" applyBorder="1" applyAlignment="1">
      <alignment horizontal="right"/>
    </xf>
    <xf numFmtId="0" fontId="54" fillId="7" borderId="0" xfId="0" applyFont="1" applyFill="1" applyAlignment="1">
      <alignment horizontal="center"/>
    </xf>
    <xf numFmtId="165" fontId="54" fillId="7" borderId="0" xfId="1" applyNumberFormat="1" applyFont="1" applyFill="1" applyBorder="1" applyAlignment="1">
      <alignment horizontal="right"/>
    </xf>
    <xf numFmtId="168" fontId="55" fillId="0" borderId="0" xfId="0" applyNumberFormat="1" applyFont="1"/>
    <xf numFmtId="0" fontId="49" fillId="7" borderId="0" xfId="0" applyFont="1" applyFill="1"/>
    <xf numFmtId="0" fontId="56" fillId="7" borderId="0" xfId="0" applyFont="1" applyFill="1" applyAlignment="1">
      <alignment horizontal="center"/>
    </xf>
    <xf numFmtId="0" fontId="25" fillId="7" borderId="0" xfId="0" applyFont="1" applyFill="1" applyAlignment="1">
      <alignment vertical="center"/>
    </xf>
    <xf numFmtId="0" fontId="49" fillId="33" borderId="1" xfId="0" quotePrefix="1" applyFont="1" applyFill="1" applyBorder="1" applyAlignment="1">
      <alignment horizontal="center" vertical="center" wrapText="1"/>
    </xf>
    <xf numFmtId="0" fontId="49" fillId="33" borderId="4" xfId="0" quotePrefix="1" applyFont="1" applyFill="1" applyBorder="1" applyAlignment="1">
      <alignment horizontal="center" vertical="center"/>
    </xf>
    <xf numFmtId="0" fontId="57" fillId="0" borderId="1" xfId="0" applyFont="1" applyBorder="1" applyAlignment="1">
      <alignment horizontal="center"/>
    </xf>
    <xf numFmtId="0" fontId="57" fillId="0" borderId="1" xfId="0" applyFont="1" applyBorder="1"/>
    <xf numFmtId="3" fontId="57" fillId="0" borderId="1" xfId="0" applyNumberFormat="1" applyFont="1" applyBorder="1"/>
    <xf numFmtId="41" fontId="57" fillId="0" borderId="1" xfId="0" applyNumberFormat="1" applyFont="1" applyBorder="1"/>
    <xf numFmtId="0" fontId="57" fillId="7" borderId="0" xfId="0" applyFont="1" applyFill="1"/>
    <xf numFmtId="3" fontId="57" fillId="7" borderId="1" xfId="0" applyNumberFormat="1" applyFont="1" applyFill="1" applyBorder="1"/>
    <xf numFmtId="3" fontId="40" fillId="7" borderId="1" xfId="0" applyNumberFormat="1" applyFont="1" applyFill="1" applyBorder="1"/>
    <xf numFmtId="3" fontId="40" fillId="7" borderId="0" xfId="0" applyNumberFormat="1" applyFont="1" applyFill="1"/>
    <xf numFmtId="0" fontId="40" fillId="7" borderId="0" xfId="0" applyFont="1" applyFill="1" applyAlignment="1">
      <alignment horizontal="center"/>
    </xf>
    <xf numFmtId="0" fontId="25" fillId="7" borderId="0" xfId="0" applyFont="1" applyFill="1"/>
    <xf numFmtId="168" fontId="25" fillId="7" borderId="0" xfId="1" applyNumberFormat="1" applyFont="1" applyFill="1"/>
    <xf numFmtId="3" fontId="25" fillId="7" borderId="0" xfId="0" applyNumberFormat="1" applyFont="1" applyFill="1"/>
    <xf numFmtId="0" fontId="58" fillId="7" borderId="0" xfId="0" applyFont="1" applyFill="1"/>
    <xf numFmtId="0" fontId="59" fillId="7" borderId="0" xfId="0" applyFont="1" applyFill="1"/>
    <xf numFmtId="0" fontId="3" fillId="7" borderId="0" xfId="0" applyFont="1" applyFill="1"/>
    <xf numFmtId="0" fontId="57" fillId="0" borderId="0" xfId="0" applyFont="1"/>
    <xf numFmtId="0" fontId="16" fillId="0" borderId="1" xfId="0" applyFont="1" applyBorder="1" applyAlignment="1" applyProtection="1">
      <alignment horizontal="center"/>
      <protection locked="0"/>
    </xf>
    <xf numFmtId="0" fontId="16" fillId="7" borderId="1" xfId="0" applyFont="1" applyFill="1" applyBorder="1" applyAlignment="1" applyProtection="1">
      <alignment horizontal="center"/>
      <protection locked="0"/>
    </xf>
    <xf numFmtId="0" fontId="11" fillId="7" borderId="1" xfId="0" applyFont="1" applyFill="1" applyBorder="1" applyProtection="1">
      <protection locked="0"/>
    </xf>
    <xf numFmtId="165" fontId="12" fillId="7" borderId="1" xfId="1" applyNumberFormat="1" applyFont="1" applyFill="1" applyBorder="1" applyAlignment="1">
      <alignment vertical="center"/>
    </xf>
    <xf numFmtId="168" fontId="37" fillId="7" borderId="1" xfId="0" applyNumberFormat="1" applyFont="1" applyFill="1" applyBorder="1"/>
    <xf numFmtId="0" fontId="55" fillId="0" borderId="2" xfId="0" applyFont="1" applyBorder="1" applyAlignment="1">
      <alignment horizontal="center"/>
    </xf>
    <xf numFmtId="0" fontId="62" fillId="0" borderId="0" xfId="0" applyFont="1"/>
    <xf numFmtId="0" fontId="62" fillId="37" borderId="1" xfId="0" applyFont="1" applyFill="1" applyBorder="1" applyAlignment="1">
      <alignment horizontal="center"/>
    </xf>
    <xf numFmtId="0" fontId="61" fillId="37" borderId="1" xfId="0" applyFont="1" applyFill="1" applyBorder="1" applyAlignment="1">
      <alignment horizontal="center"/>
    </xf>
    <xf numFmtId="0" fontId="62" fillId="0" borderId="0" xfId="0" applyFont="1" applyAlignment="1">
      <alignment horizontal="center"/>
    </xf>
    <xf numFmtId="0" fontId="62" fillId="0" borderId="1" xfId="0" applyFont="1" applyBorder="1" applyAlignment="1">
      <alignment horizontal="center"/>
    </xf>
    <xf numFmtId="0" fontId="62" fillId="0" borderId="1" xfId="0" applyFont="1" applyBorder="1"/>
    <xf numFmtId="0" fontId="61" fillId="0" borderId="0" xfId="0" applyFont="1" applyAlignment="1">
      <alignment horizontal="left" wrapText="1"/>
    </xf>
    <xf numFmtId="0" fontId="61" fillId="0" borderId="0" xfId="0" applyFont="1" applyAlignment="1">
      <alignment horizontal="left"/>
    </xf>
    <xf numFmtId="49" fontId="62" fillId="0" borderId="1" xfId="0" applyNumberFormat="1" applyFont="1" applyBorder="1" applyAlignment="1">
      <alignment horizontal="center"/>
    </xf>
    <xf numFmtId="0" fontId="38" fillId="0" borderId="0" xfId="0" applyFont="1"/>
    <xf numFmtId="0" fontId="40" fillId="7" borderId="0" xfId="0" applyFont="1" applyFill="1"/>
    <xf numFmtId="3" fontId="63" fillId="7" borderId="0" xfId="0" applyNumberFormat="1" applyFont="1" applyFill="1" applyAlignment="1">
      <alignment wrapText="1"/>
    </xf>
    <xf numFmtId="0" fontId="12" fillId="17" borderId="0" xfId="0" applyFont="1" applyFill="1" applyProtection="1">
      <protection locked="0"/>
    </xf>
    <xf numFmtId="0" fontId="43" fillId="17" borderId="0" xfId="0" applyFont="1" applyFill="1" applyProtection="1">
      <protection locked="0"/>
    </xf>
    <xf numFmtId="0" fontId="13" fillId="17" borderId="0" xfId="0" applyFont="1" applyFill="1" applyAlignment="1" applyProtection="1">
      <alignment horizontal="center"/>
      <protection locked="0"/>
    </xf>
    <xf numFmtId="0" fontId="10" fillId="17" borderId="1" xfId="0" applyFont="1" applyFill="1" applyBorder="1" applyProtection="1">
      <protection locked="0"/>
    </xf>
    <xf numFmtId="0" fontId="9" fillId="17" borderId="0" xfId="0" applyFont="1" applyFill="1" applyProtection="1">
      <protection locked="0"/>
    </xf>
    <xf numFmtId="168" fontId="12" fillId="7" borderId="0" xfId="0" applyNumberFormat="1" applyFont="1" applyFill="1"/>
    <xf numFmtId="167" fontId="15" fillId="7" borderId="0" xfId="1" applyNumberFormat="1" applyFont="1" applyFill="1" applyAlignment="1">
      <alignment vertical="center"/>
    </xf>
    <xf numFmtId="167" fontId="15" fillId="7" borderId="0" xfId="1" applyNumberFormat="1" applyFont="1" applyFill="1" applyAlignment="1">
      <alignment horizontal="center"/>
    </xf>
    <xf numFmtId="167" fontId="15" fillId="7" borderId="0" xfId="1" applyNumberFormat="1" applyFont="1" applyFill="1"/>
    <xf numFmtId="167" fontId="23" fillId="17" borderId="1" xfId="1" quotePrefix="1" applyNumberFormat="1" applyFont="1" applyFill="1" applyBorder="1" applyAlignment="1">
      <alignment horizontal="center" vertical="center"/>
    </xf>
    <xf numFmtId="0" fontId="40" fillId="7" borderId="0" xfId="0" applyFont="1" applyFill="1" applyAlignment="1">
      <alignment horizontal="right"/>
    </xf>
    <xf numFmtId="0" fontId="25" fillId="0" borderId="0" xfId="0" applyFont="1" applyAlignment="1">
      <alignment vertical="center"/>
    </xf>
    <xf numFmtId="0" fontId="25" fillId="0" borderId="0" xfId="0" applyFont="1"/>
    <xf numFmtId="0" fontId="58" fillId="0" borderId="0" xfId="0" applyFont="1"/>
    <xf numFmtId="0" fontId="38" fillId="0" borderId="0" xfId="0" applyFont="1" applyAlignment="1">
      <alignment horizontal="center"/>
    </xf>
    <xf numFmtId="0" fontId="38" fillId="0" borderId="1" xfId="0" applyFont="1" applyBorder="1" applyAlignment="1">
      <alignment horizontal="center"/>
    </xf>
    <xf numFmtId="0" fontId="37" fillId="7" borderId="1" xfId="0" quotePrefix="1" applyFont="1" applyFill="1" applyBorder="1" applyAlignment="1">
      <alignment horizontal="right"/>
    </xf>
    <xf numFmtId="165" fontId="56" fillId="7" borderId="1" xfId="1" applyNumberFormat="1" applyFont="1" applyFill="1" applyBorder="1" applyAlignment="1">
      <alignment horizontal="right"/>
    </xf>
    <xf numFmtId="165" fontId="49" fillId="7" borderId="1" xfId="1" applyNumberFormat="1" applyFont="1" applyFill="1" applyBorder="1" applyAlignment="1">
      <alignment horizontal="right"/>
    </xf>
    <xf numFmtId="0" fontId="57" fillId="7" borderId="1" xfId="0" applyFont="1" applyFill="1" applyBorder="1"/>
    <xf numFmtId="168" fontId="12" fillId="17" borderId="1" xfId="1" applyNumberFormat="1" applyFont="1" applyFill="1" applyBorder="1" applyAlignment="1">
      <alignment horizontal="right" vertical="center"/>
    </xf>
    <xf numFmtId="168" fontId="57" fillId="7" borderId="0" xfId="1" applyNumberFormat="1" applyFont="1" applyFill="1"/>
    <xf numFmtId="0" fontId="49" fillId="7" borderId="1" xfId="0" applyFont="1" applyFill="1" applyBorder="1" applyAlignment="1">
      <alignment horizontal="center"/>
    </xf>
    <xf numFmtId="0" fontId="69" fillId="7" borderId="0" xfId="0" applyFont="1" applyFill="1"/>
    <xf numFmtId="0" fontId="71" fillId="0" borderId="0" xfId="0" applyFont="1"/>
    <xf numFmtId="0" fontId="71" fillId="0" borderId="0" xfId="0" applyFont="1" applyAlignment="1">
      <alignment horizontal="left"/>
    </xf>
    <xf numFmtId="165" fontId="71" fillId="0" borderId="0" xfId="1" applyNumberFormat="1" applyFont="1" applyAlignment="1">
      <alignment horizontal="right"/>
    </xf>
    <xf numFmtId="0" fontId="18" fillId="7" borderId="0" xfId="0" applyFont="1" applyFill="1" applyProtection="1">
      <protection locked="0"/>
    </xf>
    <xf numFmtId="0" fontId="10" fillId="7" borderId="0" xfId="0" applyFont="1" applyFill="1" applyAlignment="1" applyProtection="1">
      <alignment horizontal="right" vertical="center"/>
      <protection locked="0"/>
    </xf>
    <xf numFmtId="0" fontId="10" fillId="7" borderId="13" xfId="0" quotePrefix="1" applyFont="1" applyFill="1" applyBorder="1" applyProtection="1">
      <protection locked="0"/>
    </xf>
    <xf numFmtId="0" fontId="10" fillId="7" borderId="14" xfId="0" applyFont="1" applyFill="1" applyBorder="1" applyProtection="1">
      <protection locked="0"/>
    </xf>
    <xf numFmtId="49" fontId="10" fillId="7" borderId="62" xfId="0" applyNumberFormat="1" applyFont="1" applyFill="1" applyBorder="1" applyAlignment="1" applyProtection="1">
      <alignment horizontal="center"/>
      <protection hidden="1"/>
    </xf>
    <xf numFmtId="0" fontId="75" fillId="7" borderId="1" xfId="0" applyFont="1" applyFill="1" applyBorder="1" applyProtection="1">
      <protection locked="0"/>
    </xf>
    <xf numFmtId="41" fontId="57" fillId="7" borderId="1" xfId="0" applyNumberFormat="1" applyFont="1" applyFill="1" applyBorder="1"/>
    <xf numFmtId="165" fontId="54" fillId="38" borderId="1" xfId="1" applyNumberFormat="1" applyFont="1" applyFill="1" applyBorder="1" applyAlignment="1">
      <alignment horizontal="right"/>
    </xf>
    <xf numFmtId="0" fontId="79" fillId="39" borderId="1" xfId="0" applyFont="1" applyFill="1" applyBorder="1" applyAlignment="1" applyProtection="1">
      <alignment horizontal="center" vertical="center" wrapText="1"/>
      <protection locked="0"/>
    </xf>
    <xf numFmtId="0" fontId="80" fillId="39" borderId="1" xfId="0" applyFont="1" applyFill="1" applyBorder="1" applyAlignment="1" applyProtection="1">
      <alignment horizontal="center" vertical="center" wrapText="1"/>
      <protection locked="0"/>
    </xf>
    <xf numFmtId="0" fontId="79" fillId="40" borderId="1" xfId="0" applyFont="1" applyFill="1" applyBorder="1" applyAlignment="1" applyProtection="1">
      <alignment horizontal="center" vertical="center" wrapText="1"/>
      <protection locked="0"/>
    </xf>
    <xf numFmtId="0" fontId="80" fillId="40" borderId="1" xfId="0" applyFont="1" applyFill="1" applyBorder="1" applyAlignment="1" applyProtection="1">
      <alignment horizontal="center" vertical="center" wrapText="1"/>
      <protection locked="0"/>
    </xf>
    <xf numFmtId="41" fontId="57" fillId="14" borderId="1" xfId="0" applyNumberFormat="1" applyFont="1" applyFill="1" applyBorder="1"/>
    <xf numFmtId="0" fontId="14" fillId="7" borderId="1" xfId="0" applyFont="1" applyFill="1" applyBorder="1" applyAlignment="1">
      <alignment horizontal="center"/>
    </xf>
    <xf numFmtId="167" fontId="12" fillId="17" borderId="1" xfId="1" applyNumberFormat="1" applyFont="1" applyFill="1" applyBorder="1" applyAlignment="1">
      <alignment vertical="center"/>
    </xf>
    <xf numFmtId="168" fontId="12" fillId="8" borderId="1" xfId="1" applyNumberFormat="1" applyFont="1" applyFill="1" applyBorder="1" applyAlignment="1">
      <alignment horizontal="right" vertical="center"/>
    </xf>
    <xf numFmtId="168" fontId="12" fillId="10" borderId="1" xfId="1" applyNumberFormat="1" applyFont="1" applyFill="1" applyBorder="1" applyAlignment="1">
      <alignment horizontal="right"/>
    </xf>
    <xf numFmtId="167" fontId="12" fillId="10" borderId="1" xfId="1" applyNumberFormat="1" applyFont="1" applyFill="1" applyBorder="1" applyAlignment="1">
      <alignment horizontal="right"/>
    </xf>
    <xf numFmtId="168" fontId="12" fillId="10" borderId="1" xfId="1" applyNumberFormat="1" applyFont="1" applyFill="1" applyBorder="1"/>
    <xf numFmtId="168" fontId="12" fillId="18" borderId="1" xfId="1" applyNumberFormat="1" applyFont="1" applyFill="1" applyBorder="1"/>
    <xf numFmtId="168" fontId="12" fillId="7" borderId="1" xfId="1" applyNumberFormat="1" applyFont="1" applyFill="1" applyBorder="1" applyAlignment="1">
      <alignment horizontal="right"/>
    </xf>
    <xf numFmtId="0" fontId="81" fillId="39" borderId="1" xfId="0" applyFont="1" applyFill="1" applyBorder="1" applyAlignment="1" applyProtection="1">
      <alignment horizontal="center" vertical="center" wrapText="1"/>
      <protection locked="0"/>
    </xf>
    <xf numFmtId="0" fontId="82" fillId="39" borderId="1" xfId="0" applyFont="1" applyFill="1" applyBorder="1" applyAlignment="1" applyProtection="1">
      <alignment horizontal="center" vertical="center" wrapText="1"/>
      <protection locked="0"/>
    </xf>
    <xf numFmtId="0" fontId="81" fillId="40" borderId="1" xfId="0" applyFont="1" applyFill="1" applyBorder="1" applyAlignment="1" applyProtection="1">
      <alignment horizontal="center" vertical="center" wrapText="1"/>
      <protection locked="0"/>
    </xf>
    <xf numFmtId="0" fontId="82" fillId="40" borderId="1" xfId="0" applyFont="1" applyFill="1" applyBorder="1" applyAlignment="1" applyProtection="1">
      <alignment horizontal="center" vertical="center" wrapText="1"/>
      <protection locked="0"/>
    </xf>
    <xf numFmtId="0" fontId="83" fillId="17" borderId="1" xfId="0" applyFont="1" applyFill="1" applyBorder="1" applyAlignment="1">
      <alignment horizontal="center" vertical="center" wrapText="1"/>
    </xf>
    <xf numFmtId="3" fontId="11" fillId="13" borderId="0" xfId="0" applyNumberFormat="1" applyFont="1" applyFill="1" applyProtection="1">
      <protection locked="0"/>
    </xf>
    <xf numFmtId="0" fontId="11" fillId="12" borderId="0" xfId="0" applyFont="1" applyFill="1" applyProtection="1">
      <protection locked="0"/>
    </xf>
    <xf numFmtId="0" fontId="11" fillId="0" borderId="1" xfId="0" applyFont="1" applyBorder="1" applyProtection="1">
      <protection locked="0"/>
    </xf>
    <xf numFmtId="168" fontId="12" fillId="7" borderId="1" xfId="1" applyNumberFormat="1" applyFont="1" applyFill="1" applyBorder="1" applyAlignment="1" applyProtection="1">
      <protection locked="0"/>
    </xf>
    <xf numFmtId="168" fontId="12" fillId="7" borderId="1" xfId="0" quotePrefix="1" applyNumberFormat="1" applyFont="1" applyFill="1" applyBorder="1" applyProtection="1">
      <protection locked="0"/>
    </xf>
    <xf numFmtId="168" fontId="11" fillId="7" borderId="1" xfId="0" quotePrefix="1" applyNumberFormat="1" applyFont="1" applyFill="1" applyBorder="1" applyProtection="1">
      <protection locked="0"/>
    </xf>
    <xf numFmtId="0" fontId="20" fillId="7" borderId="4" xfId="0" quotePrefix="1" applyFont="1" applyFill="1" applyBorder="1" applyAlignment="1" applyProtection="1">
      <alignment wrapText="1"/>
      <protection locked="0"/>
    </xf>
    <xf numFmtId="0" fontId="11" fillId="7" borderId="4" xfId="0" quotePrefix="1" applyFont="1" applyFill="1" applyBorder="1" applyAlignment="1" applyProtection="1">
      <alignment wrapText="1"/>
      <protection locked="0"/>
    </xf>
    <xf numFmtId="0" fontId="85" fillId="39" borderId="1" xfId="0" applyFont="1" applyFill="1" applyBorder="1" applyAlignment="1" applyProtection="1">
      <alignment horizontal="center" vertical="center" wrapText="1"/>
      <protection locked="0"/>
    </xf>
    <xf numFmtId="0" fontId="86" fillId="39" borderId="1" xfId="0" applyFont="1" applyFill="1" applyBorder="1" applyAlignment="1" applyProtection="1">
      <alignment horizontal="center" vertical="center" wrapText="1"/>
      <protection locked="0"/>
    </xf>
    <xf numFmtId="0" fontId="85" fillId="40" borderId="1" xfId="0" applyFont="1" applyFill="1" applyBorder="1" applyAlignment="1" applyProtection="1">
      <alignment horizontal="center" vertical="center" wrapText="1"/>
      <protection locked="0"/>
    </xf>
    <xf numFmtId="0" fontId="86" fillId="40" borderId="1" xfId="0" applyFont="1" applyFill="1" applyBorder="1" applyAlignment="1" applyProtection="1">
      <alignment horizontal="center" vertical="center" wrapText="1"/>
      <protection locked="0"/>
    </xf>
    <xf numFmtId="0" fontId="11" fillId="14" borderId="1" xfId="0" applyFont="1" applyFill="1" applyBorder="1" applyProtection="1">
      <protection locked="0"/>
    </xf>
    <xf numFmtId="0" fontId="57" fillId="14" borderId="1" xfId="0" applyFont="1" applyFill="1" applyBorder="1" applyAlignment="1">
      <alignment horizontal="center"/>
    </xf>
    <xf numFmtId="0" fontId="57" fillId="14" borderId="1" xfId="0" applyFont="1" applyFill="1" applyBorder="1"/>
    <xf numFmtId="168" fontId="12" fillId="14" borderId="1" xfId="1" applyNumberFormat="1" applyFont="1" applyFill="1" applyBorder="1" applyAlignment="1">
      <alignment vertical="center"/>
    </xf>
    <xf numFmtId="0" fontId="12" fillId="14" borderId="1" xfId="0" applyFont="1" applyFill="1" applyBorder="1"/>
    <xf numFmtId="0" fontId="38" fillId="0" borderId="1" xfId="0" applyFont="1" applyBorder="1" applyAlignment="1">
      <alignment wrapText="1"/>
    </xf>
    <xf numFmtId="0" fontId="38" fillId="0" borderId="1" xfId="0" applyFont="1" applyBorder="1"/>
    <xf numFmtId="0" fontId="54" fillId="41" borderId="1" xfId="0" applyFont="1" applyFill="1" applyBorder="1" applyAlignment="1">
      <alignment horizontal="center" vertical="center"/>
    </xf>
    <xf numFmtId="0" fontId="54" fillId="0" borderId="0" xfId="0" applyFont="1" applyAlignment="1">
      <alignment horizontal="center" vertical="center"/>
    </xf>
    <xf numFmtId="0" fontId="87" fillId="0" borderId="0" xfId="0" applyFont="1" applyAlignment="1">
      <alignment horizontal="right"/>
    </xf>
    <xf numFmtId="0" fontId="54" fillId="0" borderId="0" xfId="0" applyFont="1" applyAlignment="1">
      <alignment horizontal="left"/>
    </xf>
    <xf numFmtId="0" fontId="38" fillId="7" borderId="1" xfId="0" applyFont="1" applyFill="1" applyBorder="1" applyAlignment="1">
      <alignment horizontal="center" vertical="center"/>
    </xf>
    <xf numFmtId="0" fontId="38" fillId="7" borderId="1" xfId="0" applyFont="1" applyFill="1" applyBorder="1" applyAlignment="1">
      <alignment horizontal="left" vertical="center"/>
    </xf>
    <xf numFmtId="0" fontId="88" fillId="7" borderId="0" xfId="0" applyFont="1" applyFill="1" applyAlignment="1">
      <alignment vertical="center"/>
    </xf>
    <xf numFmtId="0" fontId="88" fillId="7" borderId="0" xfId="0" applyFont="1" applyFill="1" applyAlignment="1">
      <alignment vertical="center" wrapText="1"/>
    </xf>
    <xf numFmtId="0" fontId="89" fillId="7" borderId="0" xfId="0" applyFont="1" applyFill="1" applyAlignment="1">
      <alignment vertical="center" wrapText="1"/>
    </xf>
    <xf numFmtId="0" fontId="88" fillId="7" borderId="0" xfId="0" applyFont="1" applyFill="1" applyAlignment="1">
      <alignment horizontal="left" vertical="center" wrapText="1"/>
    </xf>
    <xf numFmtId="168" fontId="90" fillId="7" borderId="0" xfId="1" applyNumberFormat="1" applyFont="1" applyFill="1" applyAlignment="1">
      <alignment vertical="center"/>
    </xf>
    <xf numFmtId="0" fontId="90" fillId="7" borderId="0" xfId="0" applyFont="1" applyFill="1" applyAlignment="1">
      <alignment vertical="center"/>
    </xf>
    <xf numFmtId="0" fontId="88" fillId="7" borderId="0" xfId="0" applyFont="1" applyFill="1"/>
    <xf numFmtId="0" fontId="89" fillId="7" borderId="0" xfId="0" applyFont="1" applyFill="1" applyAlignment="1">
      <alignment vertical="center"/>
    </xf>
    <xf numFmtId="0" fontId="88" fillId="7" borderId="0" xfId="0" applyFont="1" applyFill="1" applyAlignment="1">
      <alignment horizontal="left" vertical="center"/>
    </xf>
    <xf numFmtId="0" fontId="88" fillId="7" borderId="0" xfId="0" applyFont="1" applyFill="1" applyAlignment="1">
      <alignment horizontal="center" vertical="center"/>
    </xf>
    <xf numFmtId="0" fontId="90" fillId="7" borderId="1" xfId="0" applyFont="1" applyFill="1" applyBorder="1" applyAlignment="1">
      <alignment vertical="center"/>
    </xf>
    <xf numFmtId="0" fontId="90" fillId="7" borderId="6" xfId="0" applyFont="1" applyFill="1" applyBorder="1" applyAlignment="1">
      <alignment vertical="center"/>
    </xf>
    <xf numFmtId="0" fontId="89" fillId="7" borderId="1" xfId="0" applyFont="1" applyFill="1" applyBorder="1" applyAlignment="1">
      <alignment vertical="center"/>
    </xf>
    <xf numFmtId="0" fontId="88" fillId="7" borderId="1" xfId="0" applyFont="1" applyFill="1" applyBorder="1" applyAlignment="1">
      <alignment horizontal="left" vertical="center"/>
    </xf>
    <xf numFmtId="0" fontId="88" fillId="7" borderId="0" xfId="0" applyFont="1" applyFill="1" applyAlignment="1">
      <alignment horizontal="center"/>
    </xf>
    <xf numFmtId="0" fontId="90" fillId="7" borderId="6" xfId="0" applyFont="1" applyFill="1" applyBorder="1" applyAlignment="1">
      <alignment horizontal="center" vertical="center"/>
    </xf>
    <xf numFmtId="0" fontId="90" fillId="7" borderId="1" xfId="0" applyFont="1" applyFill="1" applyBorder="1" applyAlignment="1">
      <alignment horizontal="center" vertical="center"/>
    </xf>
    <xf numFmtId="0" fontId="89" fillId="7" borderId="1" xfId="0" applyFont="1" applyFill="1" applyBorder="1" applyAlignment="1">
      <alignment vertical="center" wrapText="1"/>
    </xf>
    <xf numFmtId="0" fontId="90" fillId="7" borderId="1" xfId="0" applyFont="1" applyFill="1" applyBorder="1" applyAlignment="1">
      <alignment horizontal="center" vertical="center" wrapText="1"/>
    </xf>
    <xf numFmtId="0" fontId="90" fillId="7" borderId="1" xfId="0" applyFont="1" applyFill="1" applyBorder="1" applyAlignment="1">
      <alignment vertical="center" wrapText="1"/>
    </xf>
    <xf numFmtId="168" fontId="90" fillId="7" borderId="1" xfId="1" applyNumberFormat="1" applyFont="1" applyFill="1" applyBorder="1" applyAlignment="1">
      <alignment horizontal="center" vertical="center" wrapText="1"/>
    </xf>
    <xf numFmtId="168" fontId="90" fillId="7" borderId="1" xfId="1" applyNumberFormat="1" applyFont="1" applyFill="1" applyBorder="1" applyAlignment="1">
      <alignment vertical="center" wrapText="1"/>
    </xf>
    <xf numFmtId="168" fontId="90" fillId="7" borderId="1" xfId="1" applyNumberFormat="1" applyFont="1" applyFill="1" applyBorder="1" applyAlignment="1">
      <alignment horizontal="center" vertical="center"/>
    </xf>
    <xf numFmtId="0" fontId="88" fillId="7" borderId="0" xfId="0" applyFont="1" applyFill="1" applyAlignment="1">
      <alignment wrapText="1"/>
    </xf>
    <xf numFmtId="0" fontId="88" fillId="7" borderId="1" xfId="0" applyFont="1" applyFill="1" applyBorder="1" applyAlignment="1">
      <alignment horizontal="center" vertical="center"/>
    </xf>
    <xf numFmtId="0" fontId="88" fillId="7" borderId="6" xfId="0" applyFont="1" applyFill="1" applyBorder="1" applyAlignment="1">
      <alignment horizontal="left" vertical="center"/>
    </xf>
    <xf numFmtId="0" fontId="88" fillId="7" borderId="7" xfId="0" applyFont="1" applyFill="1" applyBorder="1" applyAlignment="1">
      <alignment horizontal="center" vertical="center"/>
    </xf>
    <xf numFmtId="0" fontId="88" fillId="7" borderId="1" xfId="0" quotePrefix="1" applyFont="1" applyFill="1" applyBorder="1"/>
    <xf numFmtId="0" fontId="88" fillId="7" borderId="19" xfId="0" applyFont="1" applyFill="1" applyBorder="1" applyAlignment="1">
      <alignment vertical="center"/>
    </xf>
    <xf numFmtId="168" fontId="88" fillId="7" borderId="7" xfId="1" applyNumberFormat="1" applyFont="1" applyFill="1" applyBorder="1" applyAlignment="1">
      <alignment horizontal="center" vertical="center"/>
    </xf>
    <xf numFmtId="43" fontId="88" fillId="7" borderId="7" xfId="1" applyNumberFormat="1" applyFont="1" applyFill="1" applyBorder="1" applyAlignment="1">
      <alignment horizontal="center" vertical="center"/>
    </xf>
    <xf numFmtId="168" fontId="88" fillId="7" borderId="1" xfId="1" applyNumberFormat="1" applyFont="1" applyFill="1" applyBorder="1" applyAlignment="1">
      <alignment horizontal="center" vertical="center"/>
    </xf>
    <xf numFmtId="165" fontId="88" fillId="7" borderId="1" xfId="0" applyNumberFormat="1" applyFont="1" applyFill="1" applyBorder="1" applyAlignment="1">
      <alignment horizontal="center" vertical="center"/>
    </xf>
    <xf numFmtId="166" fontId="88" fillId="7" borderId="1" xfId="0" applyNumberFormat="1" applyFont="1" applyFill="1" applyBorder="1" applyAlignment="1">
      <alignment horizontal="center" vertical="center"/>
    </xf>
    <xf numFmtId="0" fontId="88" fillId="7" borderId="1" xfId="0" applyFont="1" applyFill="1" applyBorder="1" applyAlignment="1">
      <alignment wrapText="1"/>
    </xf>
    <xf numFmtId="168" fontId="88" fillId="7" borderId="0" xfId="0" applyNumberFormat="1" applyFont="1" applyFill="1"/>
    <xf numFmtId="165" fontId="88" fillId="7" borderId="0" xfId="0" applyNumberFormat="1" applyFont="1" applyFill="1"/>
    <xf numFmtId="0" fontId="88" fillId="7" borderId="1" xfId="0" applyFont="1" applyFill="1" applyBorder="1" applyAlignment="1">
      <alignment vertical="center"/>
    </xf>
    <xf numFmtId="0" fontId="88" fillId="7" borderId="4" xfId="0" applyFont="1" applyFill="1" applyBorder="1" applyAlignment="1">
      <alignment vertical="center"/>
    </xf>
    <xf numFmtId="0" fontId="88" fillId="0" borderId="1" xfId="0" applyFont="1" applyBorder="1"/>
    <xf numFmtId="0" fontId="88" fillId="7" borderId="1" xfId="0" applyFont="1" applyFill="1" applyBorder="1" applyAlignment="1">
      <alignment horizontal="center"/>
    </xf>
    <xf numFmtId="168" fontId="88" fillId="7" borderId="1" xfId="1" applyNumberFormat="1" applyFont="1" applyFill="1" applyBorder="1" applyAlignment="1">
      <alignment horizontal="center"/>
    </xf>
    <xf numFmtId="168" fontId="88" fillId="7" borderId="1" xfId="1" applyNumberFormat="1" applyFont="1" applyFill="1" applyBorder="1"/>
    <xf numFmtId="0" fontId="88" fillId="7" borderId="1" xfId="0" applyFont="1" applyFill="1" applyBorder="1"/>
    <xf numFmtId="0" fontId="88" fillId="0" borderId="1" xfId="0" quotePrefix="1" applyFont="1" applyBorder="1"/>
    <xf numFmtId="0" fontId="92" fillId="7" borderId="1" xfId="0" applyFont="1" applyFill="1" applyBorder="1" applyAlignment="1">
      <alignment horizontal="left" vertical="center"/>
    </xf>
    <xf numFmtId="0" fontId="88" fillId="7" borderId="1" xfId="0" applyFont="1" applyFill="1" applyBorder="1" applyAlignment="1">
      <alignment horizontal="left"/>
    </xf>
    <xf numFmtId="14" fontId="88" fillId="7" borderId="1" xfId="0" applyNumberFormat="1" applyFont="1" applyFill="1" applyBorder="1" applyAlignment="1">
      <alignment horizontal="left"/>
    </xf>
    <xf numFmtId="0" fontId="88" fillId="7" borderId="4" xfId="0" applyFont="1" applyFill="1" applyBorder="1" applyAlignment="1">
      <alignment horizontal="left" vertical="center"/>
    </xf>
    <xf numFmtId="168" fontId="88" fillId="7" borderId="1" xfId="1" applyNumberFormat="1" applyFont="1" applyFill="1" applyBorder="1" applyAlignment="1">
      <alignment horizontal="right" vertical="center"/>
    </xf>
    <xf numFmtId="168" fontId="88" fillId="7" borderId="6" xfId="1" applyNumberFormat="1" applyFont="1" applyFill="1" applyBorder="1" applyAlignment="1">
      <alignment horizontal="right" vertical="center"/>
    </xf>
    <xf numFmtId="1" fontId="92" fillId="7" borderId="0" xfId="0" applyNumberFormat="1" applyFont="1" applyFill="1" applyAlignment="1">
      <alignment horizontal="left"/>
    </xf>
    <xf numFmtId="0" fontId="88" fillId="7" borderId="4" xfId="0" applyFont="1" applyFill="1" applyBorder="1" applyAlignment="1">
      <alignment horizontal="left"/>
    </xf>
    <xf numFmtId="0" fontId="88" fillId="7" borderId="6" xfId="0" applyFont="1" applyFill="1" applyBorder="1" applyAlignment="1">
      <alignment horizontal="center" vertical="center"/>
    </xf>
    <xf numFmtId="0" fontId="88" fillId="7" borderId="4" xfId="0" applyFont="1" applyFill="1" applyBorder="1"/>
    <xf numFmtId="14" fontId="88" fillId="7" borderId="1" xfId="0" applyNumberFormat="1" applyFont="1" applyFill="1" applyBorder="1" applyAlignment="1">
      <alignment horizontal="center"/>
    </xf>
    <xf numFmtId="0" fontId="88" fillId="7" borderId="60" xfId="0" applyFont="1" applyFill="1" applyBorder="1" applyAlignment="1">
      <alignment horizontal="left" vertical="center"/>
    </xf>
    <xf numFmtId="0" fontId="88" fillId="7" borderId="0" xfId="0" applyFont="1" applyFill="1" applyAlignment="1">
      <alignment horizontal="right"/>
    </xf>
    <xf numFmtId="168" fontId="88" fillId="7" borderId="4" xfId="1" applyNumberFormat="1" applyFont="1" applyFill="1" applyBorder="1" applyAlignment="1"/>
    <xf numFmtId="168" fontId="88" fillId="7" borderId="0" xfId="1" applyNumberFormat="1" applyFont="1" applyFill="1" applyAlignment="1">
      <alignment horizontal="right"/>
    </xf>
    <xf numFmtId="14" fontId="88" fillId="7" borderId="1" xfId="0" applyNumberFormat="1" applyFont="1" applyFill="1" applyBorder="1"/>
    <xf numFmtId="0" fontId="88" fillId="7" borderId="1" xfId="0" quotePrefix="1" applyFont="1" applyFill="1" applyBorder="1" applyAlignment="1">
      <alignment horizontal="left"/>
    </xf>
    <xf numFmtId="0" fontId="88" fillId="42" borderId="1" xfId="0" applyFont="1" applyFill="1" applyBorder="1"/>
    <xf numFmtId="16" fontId="88" fillId="7" borderId="1" xfId="0" applyNumberFormat="1" applyFont="1" applyFill="1" applyBorder="1" applyAlignment="1">
      <alignment horizontal="left"/>
    </xf>
    <xf numFmtId="14" fontId="88" fillId="7" borderId="4" xfId="0" applyNumberFormat="1" applyFont="1" applyFill="1" applyBorder="1"/>
    <xf numFmtId="16" fontId="88" fillId="7" borderId="1" xfId="0" applyNumberFormat="1" applyFont="1" applyFill="1" applyBorder="1"/>
    <xf numFmtId="0" fontId="88" fillId="7" borderId="8" xfId="0" applyFont="1" applyFill="1" applyBorder="1" applyAlignment="1">
      <alignment horizontal="left" vertical="center"/>
    </xf>
    <xf numFmtId="165" fontId="88" fillId="14" borderId="0" xfId="0" applyNumberFormat="1" applyFont="1" applyFill="1"/>
    <xf numFmtId="14" fontId="88" fillId="7" borderId="1" xfId="0" applyNumberFormat="1" applyFont="1" applyFill="1" applyBorder="1" applyAlignment="1">
      <alignment horizontal="center" vertical="center"/>
    </xf>
    <xf numFmtId="1" fontId="88" fillId="7" borderId="1" xfId="0" applyNumberFormat="1" applyFont="1" applyFill="1" applyBorder="1" applyAlignment="1">
      <alignment horizontal="left"/>
    </xf>
    <xf numFmtId="165" fontId="90" fillId="7" borderId="0" xfId="0" applyNumberFormat="1" applyFont="1" applyFill="1"/>
    <xf numFmtId="0" fontId="88" fillId="7" borderId="0" xfId="0" applyFont="1" applyFill="1" applyAlignment="1">
      <alignment horizontal="left"/>
    </xf>
    <xf numFmtId="0" fontId="93" fillId="7" borderId="0" xfId="0" applyFont="1" applyFill="1"/>
    <xf numFmtId="0" fontId="90" fillId="17" borderId="1" xfId="0" applyFont="1" applyFill="1" applyBorder="1"/>
    <xf numFmtId="0" fontId="94" fillId="17" borderId="1" xfId="0" applyFont="1" applyFill="1" applyBorder="1"/>
    <xf numFmtId="0" fontId="90" fillId="17" borderId="1" xfId="0" applyFont="1" applyFill="1" applyBorder="1" applyAlignment="1">
      <alignment horizontal="left"/>
    </xf>
    <xf numFmtId="168" fontId="90" fillId="17" borderId="1" xfId="1" applyNumberFormat="1" applyFont="1" applyFill="1" applyBorder="1" applyAlignment="1">
      <alignment horizontal="center"/>
    </xf>
    <xf numFmtId="168" fontId="90" fillId="17" borderId="7" xfId="1" applyNumberFormat="1" applyFont="1" applyFill="1" applyBorder="1" applyAlignment="1">
      <alignment horizontal="center" vertical="center"/>
    </xf>
    <xf numFmtId="168" fontId="90" fillId="17" borderId="1" xfId="1" applyNumberFormat="1" applyFont="1" applyFill="1" applyBorder="1"/>
    <xf numFmtId="165" fontId="90" fillId="17" borderId="1" xfId="0" applyNumberFormat="1" applyFont="1" applyFill="1" applyBorder="1"/>
    <xf numFmtId="0" fontId="90" fillId="17" borderId="0" xfId="0" applyFont="1" applyFill="1"/>
    <xf numFmtId="0" fontId="90" fillId="7" borderId="0" xfId="0" applyFont="1" applyFill="1"/>
    <xf numFmtId="0" fontId="89" fillId="7" borderId="0" xfId="0" applyFont="1" applyFill="1"/>
    <xf numFmtId="168" fontId="90" fillId="7" borderId="0" xfId="1" applyNumberFormat="1" applyFont="1" applyFill="1" applyAlignment="1">
      <alignment horizontal="center"/>
    </xf>
    <xf numFmtId="168" fontId="88" fillId="7" borderId="0" xfId="1" applyNumberFormat="1" applyFont="1" applyFill="1" applyAlignment="1">
      <alignment horizontal="center"/>
    </xf>
    <xf numFmtId="168" fontId="88" fillId="7" borderId="0" xfId="1" applyNumberFormat="1" applyFont="1" applyFill="1"/>
    <xf numFmtId="0" fontId="14" fillId="14" borderId="1" xfId="0" applyFont="1" applyFill="1" applyBorder="1" applyAlignment="1">
      <alignment horizontal="center" vertical="center" wrapText="1"/>
    </xf>
    <xf numFmtId="167" fontId="14" fillId="17" borderId="1" xfId="1" quotePrefix="1" applyNumberFormat="1" applyFont="1" applyFill="1" applyBorder="1" applyAlignment="1">
      <alignment horizontal="center" vertical="center"/>
    </xf>
    <xf numFmtId="168" fontId="88" fillId="7" borderId="6" xfId="1" applyNumberFormat="1" applyFont="1" applyFill="1" applyBorder="1"/>
    <xf numFmtId="0" fontId="95" fillId="17" borderId="1" xfId="0" applyFont="1" applyFill="1" applyBorder="1" applyAlignment="1">
      <alignment horizontal="center" vertical="center" wrapText="1"/>
    </xf>
    <xf numFmtId="168" fontId="83" fillId="17" borderId="1" xfId="0" quotePrefix="1" applyNumberFormat="1" applyFont="1" applyFill="1" applyBorder="1" applyAlignment="1">
      <alignment horizontal="center" vertical="center"/>
    </xf>
    <xf numFmtId="167" fontId="83" fillId="17" borderId="1" xfId="1" quotePrefix="1" applyNumberFormat="1" applyFont="1" applyFill="1" applyBorder="1" applyAlignment="1">
      <alignment horizontal="center" vertical="center"/>
    </xf>
    <xf numFmtId="167" fontId="12" fillId="7" borderId="1" xfId="1" quotePrefix="1" applyNumberFormat="1" applyFont="1" applyFill="1" applyBorder="1" applyAlignment="1">
      <alignment vertical="center"/>
    </xf>
    <xf numFmtId="168" fontId="12" fillId="7" borderId="1" xfId="1" applyNumberFormat="1" applyFont="1" applyFill="1" applyBorder="1" applyAlignment="1">
      <alignment horizontal="right" vertical="center"/>
    </xf>
    <xf numFmtId="168" fontId="11" fillId="7" borderId="1" xfId="1" applyNumberFormat="1" applyFont="1" applyFill="1" applyBorder="1" applyAlignment="1">
      <alignment horizontal="right" vertical="center"/>
    </xf>
    <xf numFmtId="49" fontId="12" fillId="7" borderId="1" xfId="1" applyNumberFormat="1" applyFont="1" applyFill="1" applyBorder="1" applyAlignment="1">
      <alignment horizontal="right" vertical="center"/>
    </xf>
    <xf numFmtId="168" fontId="19" fillId="42" borderId="1" xfId="1" applyNumberFormat="1" applyFont="1" applyFill="1" applyBorder="1" applyAlignment="1">
      <alignment horizontal="right"/>
    </xf>
    <xf numFmtId="168" fontId="19" fillId="42" borderId="1" xfId="1" applyNumberFormat="1" applyFont="1" applyFill="1" applyBorder="1"/>
    <xf numFmtId="168" fontId="11" fillId="0" borderId="1" xfId="1" applyNumberFormat="1" applyFont="1" applyBorder="1" applyProtection="1">
      <protection hidden="1"/>
    </xf>
    <xf numFmtId="168" fontId="11" fillId="0" borderId="4" xfId="0" applyNumberFormat="1" applyFont="1" applyBorder="1" applyProtection="1">
      <protection hidden="1"/>
    </xf>
    <xf numFmtId="0" fontId="10" fillId="7" borderId="0" xfId="0" applyFont="1" applyFill="1" applyAlignment="1" applyProtection="1">
      <alignment horizontal="center" vertical="center"/>
      <protection hidden="1"/>
    </xf>
    <xf numFmtId="0" fontId="40" fillId="7" borderId="4" xfId="0" applyFont="1" applyFill="1" applyBorder="1" applyAlignment="1">
      <alignment horizontal="center"/>
    </xf>
    <xf numFmtId="0" fontId="40" fillId="7" borderId="8" xfId="0" applyFont="1" applyFill="1" applyBorder="1" applyAlignment="1">
      <alignment horizontal="center"/>
    </xf>
    <xf numFmtId="0" fontId="40" fillId="7" borderId="5" xfId="0" applyFont="1" applyFill="1" applyBorder="1" applyAlignment="1">
      <alignment horizontal="center"/>
    </xf>
    <xf numFmtId="0" fontId="40" fillId="7" borderId="3" xfId="0" applyFont="1" applyFill="1" applyBorder="1" applyAlignment="1">
      <alignment horizontal="right"/>
    </xf>
    <xf numFmtId="0" fontId="66" fillId="7" borderId="0" xfId="0" applyFont="1" applyFill="1" applyAlignment="1">
      <alignment horizontal="right"/>
    </xf>
    <xf numFmtId="0" fontId="40" fillId="7" borderId="0" xfId="0" applyFont="1" applyFill="1" applyAlignment="1">
      <alignment horizontal="center"/>
    </xf>
    <xf numFmtId="0" fontId="49" fillId="7" borderId="0" xfId="0" applyFont="1" applyFill="1" applyAlignment="1">
      <alignment horizontal="center"/>
    </xf>
    <xf numFmtId="0" fontId="49" fillId="33" borderId="1" xfId="0" applyFont="1" applyFill="1" applyBorder="1" applyAlignment="1">
      <alignment horizontal="center" vertical="center"/>
    </xf>
    <xf numFmtId="0" fontId="49" fillId="33" borderId="6" xfId="0" applyFont="1" applyFill="1" applyBorder="1" applyAlignment="1">
      <alignment horizontal="center" vertical="center"/>
    </xf>
    <xf numFmtId="0" fontId="49" fillId="33" borderId="7" xfId="0" applyFont="1" applyFill="1" applyBorder="1" applyAlignment="1">
      <alignment horizontal="center" vertical="center"/>
    </xf>
    <xf numFmtId="0" fontId="49" fillId="33" borderId="1" xfId="0" applyFont="1" applyFill="1" applyBorder="1" applyAlignment="1">
      <alignment horizontal="center" vertical="center" wrapText="1"/>
    </xf>
    <xf numFmtId="0" fontId="49" fillId="33" borderId="4" xfId="0" applyFont="1" applyFill="1" applyBorder="1" applyAlignment="1">
      <alignment horizontal="center" vertical="center"/>
    </xf>
    <xf numFmtId="0" fontId="49" fillId="33" borderId="8" xfId="0" applyFont="1" applyFill="1" applyBorder="1" applyAlignment="1">
      <alignment horizontal="center" vertical="center"/>
    </xf>
    <xf numFmtId="0" fontId="57" fillId="33" borderId="1" xfId="0" applyFont="1" applyFill="1" applyBorder="1" applyAlignment="1">
      <alignment horizontal="center" vertical="center"/>
    </xf>
    <xf numFmtId="0" fontId="40" fillId="7" borderId="0" xfId="0" applyFont="1" applyFill="1" applyAlignment="1">
      <alignment horizontal="left"/>
    </xf>
    <xf numFmtId="0" fontId="40" fillId="7" borderId="0" xfId="0" applyFont="1" applyFill="1" applyAlignment="1">
      <alignment horizontal="right"/>
    </xf>
    <xf numFmtId="0" fontId="58" fillId="7" borderId="0" xfId="0" applyFont="1" applyFill="1" applyAlignment="1">
      <alignment horizontal="center"/>
    </xf>
    <xf numFmtId="0" fontId="60" fillId="7" borderId="0" xfId="0" applyFont="1" applyFill="1" applyAlignment="1">
      <alignment horizontal="center"/>
    </xf>
    <xf numFmtId="0" fontId="64" fillId="7" borderId="0" xfId="0" applyFont="1" applyFill="1" applyAlignment="1">
      <alignment horizontal="center"/>
    </xf>
    <xf numFmtId="0" fontId="68" fillId="7" borderId="0" xfId="0" applyFont="1" applyFill="1" applyAlignment="1">
      <alignment horizontal="center"/>
    </xf>
    <xf numFmtId="0" fontId="77" fillId="7" borderId="0" xfId="0" applyFont="1" applyFill="1" applyAlignment="1">
      <alignment horizontal="center"/>
    </xf>
    <xf numFmtId="3" fontId="68" fillId="7" borderId="0" xfId="0" applyNumberFormat="1" applyFont="1" applyFill="1" applyAlignment="1">
      <alignment horizontal="center"/>
    </xf>
    <xf numFmtId="3" fontId="41" fillId="7" borderId="0" xfId="0" applyNumberFormat="1" applyFont="1" applyFill="1" applyAlignment="1" applyProtection="1">
      <alignment horizontal="center"/>
      <protection locked="0"/>
    </xf>
    <xf numFmtId="0" fontId="41" fillId="7" borderId="0" xfId="0" applyFont="1" applyFill="1" applyAlignment="1" applyProtection="1">
      <alignment horizontal="center"/>
      <protection locked="0"/>
    </xf>
    <xf numFmtId="0" fontId="42" fillId="34" borderId="0" xfId="0" applyFont="1" applyFill="1" applyAlignment="1" applyProtection="1">
      <alignment horizontal="center"/>
      <protection locked="0"/>
    </xf>
    <xf numFmtId="0" fontId="43" fillId="34" borderId="0" xfId="0" applyFont="1" applyFill="1" applyAlignment="1" applyProtection="1">
      <alignment horizontal="center"/>
      <protection locked="0"/>
    </xf>
    <xf numFmtId="0" fontId="13" fillId="7" borderId="1" xfId="0" applyFont="1" applyFill="1" applyBorder="1" applyAlignment="1" applyProtection="1">
      <alignment horizontal="center"/>
      <protection locked="0"/>
    </xf>
    <xf numFmtId="0" fontId="45" fillId="11" borderId="4" xfId="0" applyFont="1" applyFill="1" applyBorder="1" applyAlignment="1" applyProtection="1">
      <alignment horizontal="center" vertical="center" wrapText="1"/>
      <protection locked="0"/>
    </xf>
    <xf numFmtId="0" fontId="45" fillId="11" borderId="8" xfId="0" applyFont="1" applyFill="1" applyBorder="1" applyAlignment="1" applyProtection="1">
      <alignment horizontal="center" vertical="center" wrapText="1"/>
      <protection locked="0"/>
    </xf>
    <xf numFmtId="0" fontId="45" fillId="11" borderId="5" xfId="0" applyFont="1" applyFill="1" applyBorder="1" applyAlignment="1" applyProtection="1">
      <alignment horizontal="center" vertical="center" wrapText="1"/>
      <protection locked="0"/>
    </xf>
    <xf numFmtId="0" fontId="44" fillId="11" borderId="1" xfId="0" applyFont="1" applyFill="1" applyBorder="1" applyAlignment="1" applyProtection="1">
      <alignment horizontal="center" vertical="center"/>
      <protection locked="0"/>
    </xf>
    <xf numFmtId="0" fontId="44" fillId="11" borderId="6" xfId="0" applyFont="1" applyFill="1" applyBorder="1" applyAlignment="1" applyProtection="1">
      <alignment horizontal="center" vertical="center"/>
      <protection locked="0"/>
    </xf>
    <xf numFmtId="0" fontId="44" fillId="11" borderId="7" xfId="0" applyFont="1" applyFill="1" applyBorder="1" applyAlignment="1" applyProtection="1">
      <alignment horizontal="center" vertical="center"/>
      <protection locked="0"/>
    </xf>
    <xf numFmtId="171" fontId="46" fillId="11" borderId="1" xfId="0" applyNumberFormat="1" applyFont="1" applyFill="1" applyBorder="1" applyAlignment="1" applyProtection="1">
      <alignment horizontal="center" vertical="center"/>
      <protection locked="0"/>
    </xf>
    <xf numFmtId="0" fontId="45" fillId="11" borderId="1" xfId="0" applyFont="1" applyFill="1" applyBorder="1" applyAlignment="1" applyProtection="1">
      <alignment horizontal="center" vertical="center" wrapText="1"/>
      <protection locked="0"/>
    </xf>
    <xf numFmtId="0" fontId="2" fillId="11" borderId="1" xfId="0" applyFont="1" applyFill="1" applyBorder="1" applyAlignment="1" applyProtection="1">
      <alignment horizontal="center" vertical="center" wrapText="1"/>
      <protection locked="0"/>
    </xf>
    <xf numFmtId="0" fontId="44" fillId="11" borderId="1" xfId="0" applyFont="1" applyFill="1" applyBorder="1" applyAlignment="1" applyProtection="1">
      <alignment horizontal="center" vertical="center" wrapText="1"/>
      <protection locked="0"/>
    </xf>
    <xf numFmtId="0" fontId="10" fillId="7" borderId="1" xfId="0" applyFont="1" applyFill="1" applyBorder="1" applyAlignment="1" applyProtection="1">
      <alignment horizontal="center" vertical="center" wrapText="1"/>
      <protection locked="0"/>
    </xf>
    <xf numFmtId="0" fontId="10" fillId="7" borderId="1" xfId="0" applyFont="1" applyFill="1" applyBorder="1" applyAlignment="1" applyProtection="1">
      <alignment horizontal="center" vertical="center"/>
      <protection locked="0"/>
    </xf>
    <xf numFmtId="0" fontId="17" fillId="7" borderId="1" xfId="0" applyFont="1" applyFill="1" applyBorder="1" applyAlignment="1" applyProtection="1">
      <alignment horizontal="center" vertical="center" wrapText="1"/>
      <protection locked="0"/>
    </xf>
    <xf numFmtId="0" fontId="17" fillId="7" borderId="1" xfId="0" applyFont="1" applyFill="1" applyBorder="1" applyAlignment="1" applyProtection="1">
      <alignment horizontal="center" vertical="center"/>
      <protection locked="0"/>
    </xf>
    <xf numFmtId="0" fontId="21" fillId="17" borderId="1" xfId="0" applyFont="1" applyFill="1" applyBorder="1" applyAlignment="1" applyProtection="1">
      <alignment horizontal="center" vertical="center" wrapText="1"/>
      <protection locked="0"/>
    </xf>
    <xf numFmtId="0" fontId="10" fillId="0" borderId="1" xfId="0" applyFont="1" applyBorder="1" applyAlignment="1" applyProtection="1">
      <alignment horizontal="center" vertical="center" wrapText="1"/>
      <protection locked="0"/>
    </xf>
    <xf numFmtId="0" fontId="10" fillId="0" borderId="1" xfId="0" applyFont="1" applyBorder="1" applyAlignment="1" applyProtection="1">
      <alignment horizontal="center" vertical="center"/>
      <protection locked="0"/>
    </xf>
    <xf numFmtId="0" fontId="21" fillId="0" borderId="1" xfId="0" applyFont="1" applyBorder="1" applyAlignment="1" applyProtection="1">
      <alignment horizontal="center" vertical="center" wrapText="1"/>
      <protection locked="0"/>
    </xf>
    <xf numFmtId="0" fontId="50" fillId="0" borderId="0" xfId="0" applyFont="1" applyAlignment="1">
      <alignment horizontal="center"/>
    </xf>
    <xf numFmtId="0" fontId="51" fillId="0" borderId="0" xfId="0" applyFont="1" applyAlignment="1">
      <alignment horizontal="center" vertical="center" wrapText="1"/>
    </xf>
    <xf numFmtId="0" fontId="52" fillId="0" borderId="2" xfId="0" applyFont="1" applyBorder="1" applyAlignment="1">
      <alignment horizontal="center" vertical="center" wrapText="1"/>
    </xf>
    <xf numFmtId="0" fontId="53" fillId="38" borderId="7" xfId="0" applyFont="1" applyFill="1" applyBorder="1" applyAlignment="1">
      <alignment horizontal="center" vertical="center"/>
    </xf>
    <xf numFmtId="0" fontId="53" fillId="38" borderId="1" xfId="0" applyFont="1" applyFill="1" applyBorder="1" applyAlignment="1">
      <alignment horizontal="center" vertical="center"/>
    </xf>
    <xf numFmtId="0" fontId="53" fillId="38" borderId="61" xfId="0" applyFont="1" applyFill="1" applyBorder="1" applyAlignment="1">
      <alignment horizontal="center" vertical="center"/>
    </xf>
    <xf numFmtId="0" fontId="53" fillId="38" borderId="19" xfId="0" applyFont="1" applyFill="1" applyBorder="1" applyAlignment="1">
      <alignment horizontal="center" vertical="center"/>
    </xf>
    <xf numFmtId="0" fontId="53" fillId="38" borderId="4" xfId="0" applyFont="1" applyFill="1" applyBorder="1" applyAlignment="1">
      <alignment horizontal="center" vertical="center"/>
    </xf>
    <xf numFmtId="165" fontId="54" fillId="38" borderId="7" xfId="1" applyNumberFormat="1" applyFont="1" applyFill="1" applyBorder="1" applyAlignment="1">
      <alignment horizontal="center" vertical="center"/>
    </xf>
    <xf numFmtId="165" fontId="54" fillId="38" borderId="1" xfId="1" applyNumberFormat="1" applyFont="1" applyFill="1" applyBorder="1" applyAlignment="1">
      <alignment horizontal="center" vertical="center"/>
    </xf>
    <xf numFmtId="165" fontId="38" fillId="0" borderId="61" xfId="1" applyNumberFormat="1" applyFont="1" applyBorder="1" applyAlignment="1">
      <alignment horizontal="center" vertical="center" wrapText="1"/>
    </xf>
    <xf numFmtId="165" fontId="38" fillId="0" borderId="7" xfId="1" applyNumberFormat="1" applyFont="1" applyBorder="1" applyAlignment="1">
      <alignment horizontal="center" vertical="center" wrapText="1"/>
    </xf>
    <xf numFmtId="0" fontId="71" fillId="0" borderId="0" xfId="0" applyFont="1" applyAlignment="1">
      <alignment horizontal="center"/>
    </xf>
    <xf numFmtId="3" fontId="55" fillId="0" borderId="0" xfId="0" applyNumberFormat="1" applyFont="1" applyAlignment="1">
      <alignment horizontal="center"/>
    </xf>
    <xf numFmtId="0" fontId="54" fillId="38" borderId="1" xfId="0" applyFont="1" applyFill="1" applyBorder="1" applyAlignment="1">
      <alignment horizontal="center"/>
    </xf>
    <xf numFmtId="0" fontId="70" fillId="0" borderId="0" xfId="0" applyFont="1" applyAlignment="1">
      <alignment horizontal="center"/>
    </xf>
    <xf numFmtId="0" fontId="54" fillId="7" borderId="3" xfId="0" applyFont="1" applyFill="1" applyBorder="1" applyAlignment="1">
      <alignment horizontal="right"/>
    </xf>
    <xf numFmtId="0" fontId="37" fillId="0" borderId="1" xfId="0" applyFont="1" applyBorder="1" applyAlignment="1">
      <alignment horizontal="center"/>
    </xf>
    <xf numFmtId="0" fontId="37" fillId="7" borderId="6" xfId="0" applyFont="1" applyFill="1" applyBorder="1" applyAlignment="1">
      <alignment horizontal="center" vertical="center"/>
    </xf>
    <xf numFmtId="0" fontId="37" fillId="7" borderId="7" xfId="0" applyFont="1" applyFill="1" applyBorder="1" applyAlignment="1">
      <alignment horizontal="center" vertical="center"/>
    </xf>
    <xf numFmtId="0" fontId="37" fillId="7" borderId="4" xfId="0" applyFont="1" applyFill="1" applyBorder="1" applyAlignment="1">
      <alignment horizontal="center" vertical="center"/>
    </xf>
    <xf numFmtId="0" fontId="55" fillId="0" borderId="1" xfId="0" applyFont="1" applyBorder="1" applyAlignment="1">
      <alignment horizontal="center" vertical="center"/>
    </xf>
    <xf numFmtId="0" fontId="37" fillId="0" borderId="1" xfId="0" applyFont="1" applyBorder="1" applyAlignment="1">
      <alignment horizontal="center" vertical="center"/>
    </xf>
    <xf numFmtId="0" fontId="77" fillId="0" borderId="0" xfId="0" applyFont="1" applyAlignment="1">
      <alignment horizontal="center"/>
    </xf>
    <xf numFmtId="0" fontId="55" fillId="0" borderId="1" xfId="0" applyFont="1" applyBorder="1" applyAlignment="1">
      <alignment horizontal="center"/>
    </xf>
    <xf numFmtId="0" fontId="55" fillId="0" borderId="0" xfId="0" applyFont="1" applyAlignment="1">
      <alignment horizontal="center"/>
    </xf>
    <xf numFmtId="170" fontId="35" fillId="32" borderId="39" xfId="0" applyNumberFormat="1" applyFont="1" applyFill="1" applyBorder="1" applyAlignment="1" applyProtection="1">
      <alignment horizontal="center" vertical="center"/>
      <protection locked="0"/>
    </xf>
    <xf numFmtId="170" fontId="35" fillId="32" borderId="53" xfId="0" applyNumberFormat="1" applyFont="1" applyFill="1" applyBorder="1" applyAlignment="1" applyProtection="1">
      <alignment horizontal="center" vertical="center"/>
      <protection locked="0"/>
    </xf>
    <xf numFmtId="0" fontId="35" fillId="32" borderId="39" xfId="0" applyFont="1" applyFill="1" applyBorder="1" applyAlignment="1" applyProtection="1">
      <alignment horizontal="center" vertical="center"/>
      <protection locked="0"/>
    </xf>
    <xf numFmtId="0" fontId="35" fillId="32" borderId="41" xfId="0" applyFont="1" applyFill="1" applyBorder="1" applyAlignment="1" applyProtection="1">
      <alignment horizontal="center" vertical="center"/>
      <protection locked="0"/>
    </xf>
    <xf numFmtId="0" fontId="35" fillId="32" borderId="42" xfId="0" applyFont="1" applyFill="1" applyBorder="1" applyAlignment="1" applyProtection="1">
      <alignment horizontal="center" vertical="center"/>
      <protection locked="0"/>
    </xf>
    <xf numFmtId="14" fontId="26" fillId="22" borderId="43" xfId="0" applyNumberFormat="1" applyFont="1" applyFill="1" applyBorder="1" applyAlignment="1" applyProtection="1">
      <alignment horizontal="center" vertical="center"/>
      <protection locked="0"/>
    </xf>
    <xf numFmtId="0" fontId="26" fillId="22" borderId="44" xfId="0" applyFont="1" applyFill="1" applyBorder="1" applyAlignment="1" applyProtection="1">
      <alignment horizontal="center" vertical="center"/>
      <protection locked="0"/>
    </xf>
    <xf numFmtId="0" fontId="26" fillId="22" borderId="45" xfId="0" applyFont="1" applyFill="1" applyBorder="1" applyAlignment="1" applyProtection="1">
      <alignment horizontal="center" vertical="center"/>
      <protection locked="0"/>
    </xf>
    <xf numFmtId="0" fontId="32" fillId="20" borderId="46" xfId="0" applyFont="1" applyFill="1" applyBorder="1" applyAlignment="1" applyProtection="1">
      <alignment horizontal="center" vertical="center"/>
      <protection locked="0"/>
    </xf>
    <xf numFmtId="0" fontId="32" fillId="20" borderId="47" xfId="0" applyFont="1" applyFill="1" applyBorder="1" applyAlignment="1" applyProtection="1">
      <alignment horizontal="center" vertical="center"/>
      <protection locked="0"/>
    </xf>
    <xf numFmtId="0" fontId="32" fillId="20" borderId="48" xfId="0" applyFont="1" applyFill="1" applyBorder="1" applyAlignment="1" applyProtection="1">
      <alignment horizontal="center" vertical="center"/>
      <protection locked="0"/>
    </xf>
    <xf numFmtId="173" fontId="35" fillId="32" borderId="38" xfId="0" applyNumberFormat="1" applyFont="1" applyFill="1" applyBorder="1" applyAlignment="1" applyProtection="1">
      <alignment horizontal="center" vertical="center"/>
      <protection locked="0"/>
    </xf>
    <xf numFmtId="173" fontId="35" fillId="32" borderId="52" xfId="0" applyNumberFormat="1" applyFont="1" applyFill="1" applyBorder="1" applyAlignment="1" applyProtection="1">
      <alignment horizontal="center" vertical="center"/>
      <protection locked="0"/>
    </xf>
    <xf numFmtId="49" fontId="35" fillId="32" borderId="39" xfId="0" applyNumberFormat="1" applyFont="1" applyFill="1" applyBorder="1" applyAlignment="1" applyProtection="1">
      <alignment horizontal="center" vertical="center"/>
      <protection locked="0"/>
    </xf>
    <xf numFmtId="49" fontId="35" fillId="32" borderId="53" xfId="0" applyNumberFormat="1" applyFont="1" applyFill="1" applyBorder="1" applyAlignment="1" applyProtection="1">
      <alignment horizontal="center" vertical="center"/>
      <protection locked="0"/>
    </xf>
    <xf numFmtId="0" fontId="35" fillId="32" borderId="53" xfId="0" applyFont="1" applyFill="1" applyBorder="1" applyAlignment="1" applyProtection="1">
      <alignment horizontal="center" vertical="center"/>
      <protection locked="0"/>
    </xf>
    <xf numFmtId="0" fontId="35" fillId="32" borderId="40" xfId="0" applyFont="1" applyFill="1" applyBorder="1" applyAlignment="1" applyProtection="1">
      <alignment horizontal="center" vertical="center"/>
      <protection locked="0"/>
    </xf>
    <xf numFmtId="0" fontId="35" fillId="32" borderId="54" xfId="0" applyFont="1" applyFill="1" applyBorder="1" applyAlignment="1" applyProtection="1">
      <alignment horizontal="center" vertical="center"/>
      <protection locked="0"/>
    </xf>
    <xf numFmtId="170" fontId="35" fillId="32" borderId="39" xfId="0" applyNumberFormat="1" applyFont="1" applyFill="1" applyBorder="1" applyAlignment="1" applyProtection="1">
      <alignment horizontal="center" vertical="center" wrapText="1"/>
      <protection locked="0"/>
    </xf>
    <xf numFmtId="170" fontId="35" fillId="32" borderId="53" xfId="0" applyNumberFormat="1" applyFont="1" applyFill="1" applyBorder="1" applyAlignment="1" applyProtection="1">
      <alignment horizontal="center" vertical="center" wrapText="1"/>
      <protection locked="0"/>
    </xf>
    <xf numFmtId="0" fontId="27" fillId="26" borderId="23" xfId="0" applyFont="1" applyFill="1" applyBorder="1" applyAlignment="1" applyProtection="1">
      <alignment horizontal="center" vertical="center"/>
      <protection locked="0"/>
    </xf>
    <xf numFmtId="0" fontId="27" fillId="26" borderId="25" xfId="0" applyFont="1" applyFill="1" applyBorder="1" applyAlignment="1" applyProtection="1">
      <alignment horizontal="center" vertical="center"/>
      <protection locked="0"/>
    </xf>
    <xf numFmtId="0" fontId="27" fillId="26" borderId="24" xfId="0" applyFont="1" applyFill="1" applyBorder="1" applyAlignment="1" applyProtection="1">
      <alignment horizontal="center" vertical="center"/>
      <protection locked="0"/>
    </xf>
    <xf numFmtId="170" fontId="32" fillId="20" borderId="28" xfId="0" applyNumberFormat="1" applyFont="1" applyFill="1" applyBorder="1" applyAlignment="1" applyProtection="1">
      <alignment horizontal="center" vertical="center"/>
      <protection locked="0"/>
    </xf>
    <xf numFmtId="170" fontId="32" fillId="20" borderId="29" xfId="0" applyNumberFormat="1" applyFont="1" applyFill="1" applyBorder="1" applyAlignment="1" applyProtection="1">
      <alignment horizontal="center" vertical="center"/>
      <protection locked="0"/>
    </xf>
    <xf numFmtId="170" fontId="32" fillId="21" borderId="28" xfId="0" applyNumberFormat="1" applyFont="1" applyFill="1" applyBorder="1" applyAlignment="1" applyProtection="1">
      <alignment horizontal="center" vertical="center"/>
      <protection locked="0"/>
    </xf>
    <xf numFmtId="170" fontId="32" fillId="21" borderId="29" xfId="0" applyNumberFormat="1" applyFont="1" applyFill="1" applyBorder="1" applyAlignment="1" applyProtection="1">
      <alignment horizontal="center" vertical="center"/>
      <protection locked="0"/>
    </xf>
    <xf numFmtId="170" fontId="32" fillId="22" borderId="28" xfId="0" applyNumberFormat="1" applyFont="1" applyFill="1" applyBorder="1" applyAlignment="1" applyProtection="1">
      <alignment horizontal="center" vertical="center"/>
      <protection locked="0"/>
    </xf>
    <xf numFmtId="170" fontId="32" fillId="22" borderId="0" xfId="0" applyNumberFormat="1" applyFont="1" applyFill="1" applyAlignment="1" applyProtection="1">
      <alignment horizontal="center" vertical="center"/>
      <protection locked="0"/>
    </xf>
    <xf numFmtId="2" fontId="32" fillId="16" borderId="0" xfId="0" applyNumberFormat="1" applyFont="1" applyFill="1" applyAlignment="1" applyProtection="1">
      <alignment horizontal="center" vertical="center"/>
      <protection locked="0"/>
    </xf>
    <xf numFmtId="2" fontId="32" fillId="16" borderId="29" xfId="0" applyNumberFormat="1" applyFont="1" applyFill="1" applyBorder="1" applyAlignment="1" applyProtection="1">
      <alignment horizontal="center" vertical="center"/>
      <protection locked="0"/>
    </xf>
    <xf numFmtId="0" fontId="36" fillId="9" borderId="0" xfId="0" applyFont="1" applyFill="1" applyAlignment="1" applyProtection="1">
      <alignment horizontal="center" vertical="center"/>
      <protection locked="0"/>
    </xf>
    <xf numFmtId="0" fontId="26" fillId="20" borderId="20" xfId="0" applyFont="1" applyFill="1" applyBorder="1" applyAlignment="1" applyProtection="1">
      <alignment horizontal="center" vertical="center"/>
      <protection locked="0"/>
    </xf>
    <xf numFmtId="0" fontId="26" fillId="21" borderId="21" xfId="0" applyFont="1" applyFill="1" applyBorder="1" applyAlignment="1" applyProtection="1">
      <alignment horizontal="center" vertical="center" wrapText="1"/>
      <protection locked="0"/>
    </xf>
    <xf numFmtId="0" fontId="26" fillId="21" borderId="27" xfId="0" applyFont="1" applyFill="1" applyBorder="1" applyAlignment="1" applyProtection="1">
      <alignment horizontal="center" vertical="center" wrapText="1"/>
      <protection locked="0"/>
    </xf>
    <xf numFmtId="0" fontId="26" fillId="22" borderId="20" xfId="0" applyFont="1" applyFill="1" applyBorder="1" applyAlignment="1" applyProtection="1">
      <alignment horizontal="center" vertical="center"/>
      <protection locked="0"/>
    </xf>
    <xf numFmtId="0" fontId="26" fillId="23" borderId="20" xfId="0" applyFont="1" applyFill="1" applyBorder="1" applyAlignment="1" applyProtection="1">
      <alignment horizontal="center" vertical="center"/>
      <protection locked="0"/>
    </xf>
    <xf numFmtId="0" fontId="26" fillId="23" borderId="22" xfId="0" applyFont="1" applyFill="1" applyBorder="1" applyAlignment="1" applyProtection="1">
      <alignment horizontal="center" vertical="center"/>
      <protection locked="0"/>
    </xf>
    <xf numFmtId="0" fontId="27" fillId="24" borderId="23" xfId="0" applyFont="1" applyFill="1" applyBorder="1" applyAlignment="1" applyProtection="1">
      <alignment horizontal="center" vertical="center"/>
      <protection locked="0"/>
    </xf>
    <xf numFmtId="0" fontId="27" fillId="24" borderId="24" xfId="0" applyFont="1" applyFill="1" applyBorder="1" applyAlignment="1" applyProtection="1">
      <alignment horizontal="center" vertical="center"/>
      <protection locked="0"/>
    </xf>
    <xf numFmtId="0" fontId="27" fillId="25" borderId="23" xfId="0" applyFont="1" applyFill="1" applyBorder="1" applyAlignment="1" applyProtection="1">
      <alignment horizontal="center" vertical="center"/>
      <protection locked="0"/>
    </xf>
    <xf numFmtId="0" fontId="27" fillId="25" borderId="24" xfId="0" applyFont="1" applyFill="1" applyBorder="1" applyAlignment="1" applyProtection="1">
      <alignment horizontal="center" vertical="center"/>
      <protection locked="0"/>
    </xf>
    <xf numFmtId="168" fontId="12" fillId="0" borderId="4" xfId="1" applyNumberFormat="1" applyFont="1" applyBorder="1" applyAlignment="1" applyProtection="1">
      <alignment horizontal="center"/>
      <protection hidden="1"/>
    </xf>
    <xf numFmtId="168" fontId="12" fillId="0" borderId="5" xfId="1" applyNumberFormat="1" applyFont="1" applyBorder="1" applyAlignment="1" applyProtection="1">
      <alignment horizontal="center"/>
      <protection hidden="1"/>
    </xf>
    <xf numFmtId="0" fontId="20" fillId="0" borderId="4" xfId="0" applyFont="1" applyBorder="1" applyAlignment="1" applyProtection="1">
      <alignment horizontal="left"/>
      <protection locked="0"/>
    </xf>
    <xf numFmtId="0" fontId="20" fillId="0" borderId="5" xfId="0" applyFont="1" applyBorder="1" applyAlignment="1" applyProtection="1">
      <alignment horizontal="left"/>
      <protection locked="0"/>
    </xf>
    <xf numFmtId="0" fontId="20" fillId="7" borderId="4" xfId="0" applyFont="1" applyFill="1" applyBorder="1" applyAlignment="1" applyProtection="1">
      <alignment horizontal="left"/>
      <protection locked="0"/>
    </xf>
    <xf numFmtId="0" fontId="20" fillId="7" borderId="5" xfId="0" applyFont="1" applyFill="1" applyBorder="1" applyAlignment="1" applyProtection="1">
      <alignment horizontal="left"/>
      <protection locked="0"/>
    </xf>
    <xf numFmtId="168" fontId="12" fillId="0" borderId="1" xfId="1" applyNumberFormat="1" applyFont="1" applyBorder="1" applyAlignment="1" applyProtection="1">
      <alignment horizontal="center"/>
      <protection hidden="1"/>
    </xf>
    <xf numFmtId="0" fontId="20" fillId="0" borderId="1" xfId="0" applyFont="1" applyBorder="1" applyAlignment="1" applyProtection="1">
      <alignment horizontal="center"/>
      <protection hidden="1"/>
    </xf>
    <xf numFmtId="0" fontId="11" fillId="0" borderId="4" xfId="0" applyFont="1" applyBorder="1" applyAlignment="1" applyProtection="1">
      <alignment horizontal="left"/>
      <protection locked="0"/>
    </xf>
    <xf numFmtId="0" fontId="11" fillId="0" borderId="8" xfId="0" applyFont="1" applyBorder="1" applyAlignment="1" applyProtection="1">
      <alignment horizontal="left"/>
      <protection locked="0"/>
    </xf>
    <xf numFmtId="0" fontId="20" fillId="7" borderId="4" xfId="0" quotePrefix="1" applyFont="1" applyFill="1" applyBorder="1" applyAlignment="1" applyProtection="1">
      <alignment horizontal="left" wrapText="1"/>
      <protection locked="0"/>
    </xf>
    <xf numFmtId="0" fontId="20" fillId="7" borderId="8" xfId="0" quotePrefix="1" applyFont="1" applyFill="1" applyBorder="1" applyAlignment="1" applyProtection="1">
      <alignment horizontal="left" wrapText="1"/>
      <protection locked="0"/>
    </xf>
    <xf numFmtId="0" fontId="20" fillId="7" borderId="5" xfId="0" quotePrefix="1" applyFont="1" applyFill="1" applyBorder="1" applyAlignment="1" applyProtection="1">
      <alignment horizontal="left" wrapText="1"/>
      <protection locked="0"/>
    </xf>
    <xf numFmtId="0" fontId="11" fillId="7" borderId="4" xfId="0" quotePrefix="1" applyFont="1" applyFill="1" applyBorder="1" applyAlignment="1" applyProtection="1">
      <alignment horizontal="left" wrapText="1"/>
      <protection locked="0"/>
    </xf>
    <xf numFmtId="0" fontId="11" fillId="7" borderId="8" xfId="0" quotePrefix="1" applyFont="1" applyFill="1" applyBorder="1" applyAlignment="1" applyProtection="1">
      <alignment horizontal="left" wrapText="1"/>
      <protection locked="0"/>
    </xf>
    <xf numFmtId="0" fontId="11" fillId="7" borderId="5" xfId="0" quotePrefix="1" applyFont="1" applyFill="1" applyBorder="1" applyAlignment="1" applyProtection="1">
      <alignment horizontal="left" wrapText="1"/>
      <protection locked="0"/>
    </xf>
    <xf numFmtId="0" fontId="20" fillId="0" borderId="4" xfId="0" applyFont="1" applyBorder="1" applyAlignment="1" applyProtection="1">
      <alignment horizontal="center"/>
      <protection hidden="1"/>
    </xf>
    <xf numFmtId="0" fontId="20" fillId="0" borderId="5" xfId="0" applyFont="1" applyBorder="1" applyAlignment="1" applyProtection="1">
      <alignment horizontal="center"/>
      <protection hidden="1"/>
    </xf>
    <xf numFmtId="0" fontId="20" fillId="7" borderId="1" xfId="0" quotePrefix="1" applyFont="1" applyFill="1" applyBorder="1" applyAlignment="1" applyProtection="1">
      <alignment horizontal="left"/>
      <protection locked="0"/>
    </xf>
    <xf numFmtId="0" fontId="20" fillId="7" borderId="1" xfId="0" applyFont="1" applyFill="1" applyBorder="1" applyAlignment="1" applyProtection="1">
      <alignment horizontal="left"/>
      <protection locked="0"/>
    </xf>
    <xf numFmtId="0" fontId="11" fillId="0" borderId="4" xfId="0" applyFont="1" applyBorder="1" applyAlignment="1" applyProtection="1">
      <alignment horizontal="center" vertical="center"/>
      <protection locked="0"/>
    </xf>
    <xf numFmtId="0" fontId="11" fillId="0" borderId="5" xfId="0" applyFont="1" applyBorder="1" applyAlignment="1" applyProtection="1">
      <alignment horizontal="center" vertical="center"/>
      <protection locked="0"/>
    </xf>
    <xf numFmtId="0" fontId="20" fillId="0" borderId="4" xfId="0" quotePrefix="1" applyFont="1" applyBorder="1" applyAlignment="1" applyProtection="1">
      <alignment horizontal="left"/>
      <protection locked="0"/>
    </xf>
    <xf numFmtId="0" fontId="20" fillId="0" borderId="5" xfId="0" quotePrefix="1" applyFont="1" applyBorder="1" applyAlignment="1" applyProtection="1">
      <alignment horizontal="left"/>
      <protection locked="0"/>
    </xf>
    <xf numFmtId="0" fontId="20" fillId="0" borderId="4" xfId="0" applyFont="1" applyBorder="1" applyAlignment="1" applyProtection="1">
      <alignment horizontal="left" vertical="center" wrapText="1"/>
      <protection locked="0"/>
    </xf>
    <xf numFmtId="0" fontId="20" fillId="0" borderId="5" xfId="0" applyFont="1" applyBorder="1" applyAlignment="1" applyProtection="1">
      <alignment horizontal="left" vertical="center" wrapText="1"/>
      <protection locked="0"/>
    </xf>
    <xf numFmtId="0" fontId="73" fillId="7" borderId="1" xfId="0" quotePrefix="1" applyFont="1" applyFill="1" applyBorder="1" applyAlignment="1" applyProtection="1">
      <alignment horizontal="left"/>
      <protection locked="0"/>
    </xf>
    <xf numFmtId="168" fontId="12" fillId="7" borderId="1" xfId="1" quotePrefix="1" applyNumberFormat="1" applyFont="1" applyFill="1" applyBorder="1" applyAlignment="1" applyProtection="1">
      <alignment horizontal="center"/>
      <protection hidden="1"/>
    </xf>
    <xf numFmtId="168" fontId="67" fillId="7" borderId="1" xfId="1" quotePrefix="1" applyNumberFormat="1" applyFont="1" applyFill="1" applyBorder="1" applyAlignment="1" applyProtection="1">
      <alignment horizontal="center"/>
      <protection hidden="1"/>
    </xf>
    <xf numFmtId="0" fontId="24" fillId="7" borderId="0" xfId="0" applyFont="1" applyFill="1" applyAlignment="1" applyProtection="1">
      <alignment horizontal="left" vertical="center"/>
      <protection locked="0"/>
    </xf>
    <xf numFmtId="0" fontId="10" fillId="7" borderId="14" xfId="0" applyFont="1" applyFill="1" applyBorder="1" applyAlignment="1" applyProtection="1">
      <alignment horizontal="left"/>
      <protection hidden="1"/>
    </xf>
    <xf numFmtId="0" fontId="10" fillId="7" borderId="14" xfId="0" applyFont="1" applyFill="1" applyBorder="1" applyAlignment="1" applyProtection="1">
      <alignment horizontal="right"/>
      <protection hidden="1"/>
    </xf>
    <xf numFmtId="0" fontId="20" fillId="14" borderId="4" xfId="0" applyFont="1" applyFill="1" applyBorder="1" applyAlignment="1" applyProtection="1">
      <alignment horizontal="left"/>
      <protection locked="0"/>
    </xf>
    <xf numFmtId="0" fontId="20" fillId="14" borderId="5" xfId="0" applyFont="1" applyFill="1" applyBorder="1" applyAlignment="1" applyProtection="1">
      <alignment horizontal="left"/>
      <protection locked="0"/>
    </xf>
    <xf numFmtId="0" fontId="13" fillId="7" borderId="9" xfId="0" applyFont="1" applyFill="1" applyBorder="1" applyAlignment="1" applyProtection="1">
      <alignment horizontal="right"/>
      <protection locked="0"/>
    </xf>
    <xf numFmtId="0" fontId="13" fillId="7" borderId="10" xfId="0" applyFont="1" applyFill="1" applyBorder="1" applyAlignment="1" applyProtection="1">
      <alignment horizontal="right"/>
      <protection locked="0"/>
    </xf>
    <xf numFmtId="0" fontId="13" fillId="7" borderId="11" xfId="0" applyFont="1" applyFill="1" applyBorder="1" applyAlignment="1" applyProtection="1">
      <alignment horizontal="right"/>
      <protection locked="0"/>
    </xf>
    <xf numFmtId="0" fontId="72" fillId="7" borderId="15" xfId="0" applyFont="1" applyFill="1" applyBorder="1" applyAlignment="1" applyProtection="1">
      <alignment horizontal="center"/>
      <protection locked="0"/>
    </xf>
    <xf numFmtId="0" fontId="74" fillId="7" borderId="10" xfId="0" applyFont="1" applyFill="1" applyBorder="1" applyAlignment="1" applyProtection="1">
      <alignment horizontal="center"/>
      <protection locked="0"/>
    </xf>
    <xf numFmtId="0" fontId="74" fillId="7" borderId="16" xfId="0" applyFont="1" applyFill="1" applyBorder="1" applyAlignment="1" applyProtection="1">
      <alignment horizontal="center"/>
      <protection locked="0"/>
    </xf>
    <xf numFmtId="168" fontId="84" fillId="7" borderId="1" xfId="1" quotePrefix="1" applyNumberFormat="1" applyFont="1" applyFill="1" applyBorder="1" applyAlignment="1" applyProtection="1">
      <alignment horizontal="center"/>
      <protection hidden="1"/>
    </xf>
    <xf numFmtId="0" fontId="12" fillId="7" borderId="4" xfId="0" quotePrefix="1" applyFont="1" applyFill="1" applyBorder="1" applyAlignment="1" applyProtection="1">
      <alignment horizontal="left"/>
      <protection locked="0"/>
    </xf>
    <xf numFmtId="0" fontId="12" fillId="7" borderId="5" xfId="0" quotePrefix="1" applyFont="1" applyFill="1" applyBorder="1" applyAlignment="1" applyProtection="1">
      <alignment horizontal="left"/>
      <protection locked="0"/>
    </xf>
    <xf numFmtId="0" fontId="12" fillId="7" borderId="4" xfId="0" applyFont="1" applyFill="1" applyBorder="1" applyAlignment="1" applyProtection="1">
      <alignment horizontal="center"/>
      <protection locked="0"/>
    </xf>
    <xf numFmtId="0" fontId="12" fillId="7" borderId="5" xfId="0" applyFont="1" applyFill="1" applyBorder="1" applyAlignment="1" applyProtection="1">
      <alignment horizontal="center"/>
      <protection locked="0"/>
    </xf>
    <xf numFmtId="0" fontId="11" fillId="0" borderId="1" xfId="0" applyFont="1" applyBorder="1" applyAlignment="1" applyProtection="1">
      <alignment horizontal="left"/>
      <protection locked="0"/>
    </xf>
    <xf numFmtId="168" fontId="12" fillId="7" borderId="4" xfId="1" quotePrefix="1" applyNumberFormat="1" applyFont="1" applyFill="1" applyBorder="1" applyAlignment="1" applyProtection="1">
      <alignment horizontal="center"/>
      <protection hidden="1"/>
    </xf>
    <xf numFmtId="168" fontId="12" fillId="7" borderId="5" xfId="1" quotePrefix="1" applyNumberFormat="1" applyFont="1" applyFill="1" applyBorder="1" applyAlignment="1" applyProtection="1">
      <alignment horizontal="center"/>
      <protection hidden="1"/>
    </xf>
    <xf numFmtId="0" fontId="20" fillId="0" borderId="8" xfId="5" applyFont="1" applyBorder="1" applyAlignment="1" applyProtection="1">
      <alignment horizontal="left"/>
      <protection locked="0"/>
    </xf>
    <xf numFmtId="0" fontId="20" fillId="0" borderId="5" xfId="5" applyFont="1" applyBorder="1" applyAlignment="1" applyProtection="1">
      <alignment horizontal="left"/>
      <protection locked="0"/>
    </xf>
    <xf numFmtId="0" fontId="11" fillId="0" borderId="5" xfId="0" applyFont="1" applyBorder="1" applyAlignment="1" applyProtection="1">
      <alignment horizontal="left"/>
      <protection locked="0"/>
    </xf>
    <xf numFmtId="168" fontId="22" fillId="0" borderId="4" xfId="0" applyNumberFormat="1" applyFont="1" applyBorder="1" applyAlignment="1" applyProtection="1">
      <alignment horizontal="center"/>
      <protection hidden="1"/>
    </xf>
    <xf numFmtId="168" fontId="22" fillId="0" borderId="5" xfId="0" applyNumberFormat="1" applyFont="1" applyBorder="1" applyAlignment="1" applyProtection="1">
      <alignment horizontal="center"/>
      <protection hidden="1"/>
    </xf>
    <xf numFmtId="0" fontId="51" fillId="0" borderId="0" xfId="0" applyFont="1" applyAlignment="1">
      <alignment horizontal="center"/>
    </xf>
    <xf numFmtId="0" fontId="38" fillId="0" borderId="0" xfId="0" applyFont="1" applyAlignment="1">
      <alignment horizontal="left"/>
    </xf>
    <xf numFmtId="0" fontId="61" fillId="0" borderId="0" xfId="0" applyFont="1" applyAlignment="1">
      <alignment horizontal="left" wrapText="1"/>
    </xf>
    <xf numFmtId="0" fontId="61" fillId="0" borderId="0" xfId="0" applyFont="1" applyAlignment="1">
      <alignment horizontal="left"/>
    </xf>
  </cellXfs>
  <cellStyles count="9">
    <cellStyle name="Comma" xfId="1" builtinId="3"/>
    <cellStyle name="Comma 2" xfId="2" xr:uid="{00000000-0005-0000-0000-000001000000}"/>
    <cellStyle name="Hyperlink" xfId="3" builtinId="8"/>
    <cellStyle name="Normal" xfId="0" builtinId="0"/>
    <cellStyle name="Normal 2" xfId="7" xr:uid="{2489704E-D21C-49B3-A2E9-DAA351B53FB9}"/>
    <cellStyle name="Normal 3" xfId="8" xr:uid="{D5FF4E53-8D29-4170-83C4-45EEFDF18A6A}"/>
    <cellStyle name="Normal_Dichso" xfId="4" xr:uid="{00000000-0005-0000-0000-000004000000}"/>
    <cellStyle name="Normal_DocSoUnicode" xfId="5" xr:uid="{00000000-0005-0000-0000-000005000000}"/>
    <cellStyle name="Normal_NhatKy0403" xfId="6" xr:uid="{00000000-0005-0000-0000-000006000000}"/>
  </cellStyles>
  <dxfs count="2">
    <dxf>
      <font>
        <color rgb="FFFF0000"/>
      </font>
    </dxf>
    <dxf>
      <font>
        <color rgb="FFFF0000"/>
      </font>
    </dxf>
  </dxfs>
  <tableStyles count="0" defaultTableStyle="TableStyleMedium2" defaultPivotStyle="PivotStyleLight16"/>
  <colors>
    <mruColors>
      <color rgb="FF000066"/>
      <color rgb="FF003399"/>
      <color rgb="FF000099"/>
      <color rgb="FFFF0066"/>
      <color rgb="FFD0E58D"/>
      <color rgb="FFFFFF00"/>
      <color rgb="FFFFFF99"/>
      <color rgb="FFFF0000"/>
      <color rgb="FF0033CC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3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2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jpe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190500</xdr:colOff>
      <xdr:row>6</xdr:row>
      <xdr:rowOff>53340</xdr:rowOff>
    </xdr:from>
    <xdr:to>
      <xdr:col>14</xdr:col>
      <xdr:colOff>457200</xdr:colOff>
      <xdr:row>13</xdr:row>
      <xdr:rowOff>83820</xdr:rowOff>
    </xdr:to>
    <xdr:sp macro="[0]!chuyendoimoi" textlink="">
      <xdr:nvSpPr>
        <xdr:cNvPr id="2" name="Hình chữ nhật 1">
          <a:extLst>
            <a:ext uri="{FF2B5EF4-FFF2-40B4-BE49-F238E27FC236}">
              <a16:creationId xmlns:a16="http://schemas.microsoft.com/office/drawing/2014/main" id="{4DC12F46-6AC0-4FC6-9715-2F09808FF744}"/>
            </a:ext>
          </a:extLst>
        </xdr:cNvPr>
        <xdr:cNvSpPr/>
      </xdr:nvSpPr>
      <xdr:spPr>
        <a:xfrm>
          <a:off x="4937760" y="1104900"/>
          <a:ext cx="5013960" cy="1257300"/>
        </a:xfrm>
        <a:prstGeom prst="rect">
          <a:avLst/>
        </a:prstGeom>
        <a:solidFill>
          <a:srgbClr val="FFFF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600" b="1">
              <a:solidFill>
                <a:srgbClr val="FF0000"/>
              </a:solidFill>
              <a:latin typeface="+mj-lt"/>
            </a:rPr>
            <a:t>CLICK</a:t>
          </a:r>
          <a:r>
            <a:rPr lang="en-US" sz="2600" b="1" baseline="0">
              <a:solidFill>
                <a:srgbClr val="FF0000"/>
              </a:solidFill>
              <a:latin typeface="+mj-lt"/>
            </a:rPr>
            <a:t> </a:t>
          </a:r>
          <a:r>
            <a:rPr lang="vi-VN" sz="2600" b="1" baseline="0">
              <a:solidFill>
                <a:srgbClr val="FF0000"/>
              </a:solidFill>
              <a:latin typeface="+mj-lt"/>
            </a:rPr>
            <a:t>ĐỂ CHUYỂN ĐỔI CÔNG THỨC THÀNH</a:t>
          </a:r>
          <a:r>
            <a:rPr lang="en-US" sz="2600" b="1" baseline="0">
              <a:solidFill>
                <a:srgbClr val="FF0000"/>
              </a:solidFill>
              <a:latin typeface="+mj-lt"/>
            </a:rPr>
            <a:t> </a:t>
          </a:r>
          <a:r>
            <a:rPr lang="vi-VN" sz="2600" b="1" baseline="0">
              <a:solidFill>
                <a:srgbClr val="FF0000"/>
              </a:solidFill>
              <a:latin typeface="+mj-lt"/>
            </a:rPr>
            <a:t>GIÁ TRỊ</a:t>
          </a:r>
        </a:p>
        <a:p>
          <a:pPr algn="l"/>
          <a:endParaRPr lang="vi-VN" sz="1800">
            <a:solidFill>
              <a:srgbClr val="FF0000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118536</xdr:colOff>
      <xdr:row>3</xdr:row>
      <xdr:rowOff>133774</xdr:rowOff>
    </xdr:from>
    <xdr:to>
      <xdr:col>7</xdr:col>
      <xdr:colOff>829735</xdr:colOff>
      <xdr:row>6</xdr:row>
      <xdr:rowOff>75796</xdr:rowOff>
    </xdr:to>
    <xdr:sp macro="" textlink="">
      <xdr:nvSpPr>
        <xdr:cNvPr id="3" name="Hình chữ nhật 2">
          <a:extLst>
            <a:ext uri="{FF2B5EF4-FFF2-40B4-BE49-F238E27FC236}">
              <a16:creationId xmlns:a16="http://schemas.microsoft.com/office/drawing/2014/main" id="{C6832B1A-5EB0-2453-5A7A-5C0BD667D340}"/>
            </a:ext>
          </a:extLst>
        </xdr:cNvPr>
        <xdr:cNvSpPr/>
      </xdr:nvSpPr>
      <xdr:spPr>
        <a:xfrm>
          <a:off x="118536" y="895774"/>
          <a:ext cx="9135532" cy="704022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vi-VN" sz="1100"/>
        </a:p>
      </xdr:txBody>
    </xdr:sp>
    <xdr:clientData/>
  </xdr:twoCellAnchor>
  <xdr:twoCellAnchor>
    <xdr:from>
      <xdr:col>1</xdr:col>
      <xdr:colOff>65513</xdr:colOff>
      <xdr:row>3</xdr:row>
      <xdr:rowOff>149903</xdr:rowOff>
    </xdr:from>
    <xdr:to>
      <xdr:col>2</xdr:col>
      <xdr:colOff>189508</xdr:colOff>
      <xdr:row>6</xdr:row>
      <xdr:rowOff>84667</xdr:rowOff>
    </xdr:to>
    <xdr:grpSp>
      <xdr:nvGrpSpPr>
        <xdr:cNvPr id="4" name="Nhóm 3">
          <a:extLst>
            <a:ext uri="{FF2B5EF4-FFF2-40B4-BE49-F238E27FC236}">
              <a16:creationId xmlns:a16="http://schemas.microsoft.com/office/drawing/2014/main" id="{1DB54F7A-8743-75C8-5AA2-AC89EBD2F782}"/>
            </a:ext>
          </a:extLst>
        </xdr:cNvPr>
        <xdr:cNvGrpSpPr/>
      </xdr:nvGrpSpPr>
      <xdr:grpSpPr>
        <a:xfrm>
          <a:off x="181930" y="880153"/>
          <a:ext cx="981245" cy="665014"/>
          <a:chOff x="2202180" y="929641"/>
          <a:chExt cx="914400" cy="868680"/>
        </a:xfrm>
      </xdr:grpSpPr>
      <xdr:sp macro="[0]!inputlich" textlink="">
        <xdr:nvSpPr>
          <xdr:cNvPr id="21" name="Hình chữ nhật 20">
            <a:extLst>
              <a:ext uri="{FF2B5EF4-FFF2-40B4-BE49-F238E27FC236}">
                <a16:creationId xmlns:a16="http://schemas.microsoft.com/office/drawing/2014/main" id="{33C98F22-3583-8AA7-E716-C68C9B1D5CEC}"/>
              </a:ext>
            </a:extLst>
          </xdr:cNvPr>
          <xdr:cNvSpPr/>
        </xdr:nvSpPr>
        <xdr:spPr>
          <a:xfrm>
            <a:off x="2202180" y="929641"/>
            <a:ext cx="914400" cy="868680"/>
          </a:xfrm>
          <a:prstGeom prst="rect">
            <a:avLst/>
          </a:prstGeom>
          <a:solidFill>
            <a:schemeClr val="accent4">
              <a:lumMod val="75000"/>
            </a:schemeClr>
          </a:solidFill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ctr"/>
            <a:r>
              <a:rPr lang="en-US" sz="800" b="1"/>
              <a:t>Lịch</a:t>
            </a:r>
            <a:r>
              <a:rPr lang="en-US" sz="800" b="1" baseline="0"/>
              <a:t> làm việc</a:t>
            </a:r>
            <a:endParaRPr lang="vi-VN" sz="800" b="1"/>
          </a:p>
        </xdr:txBody>
      </xdr:sp>
      <xdr:pic macro="[0]!inputlich">
        <xdr:nvPicPr>
          <xdr:cNvPr id="22" name="Hình ảnh 21">
            <a:extLst>
              <a:ext uri="{FF2B5EF4-FFF2-40B4-BE49-F238E27FC236}">
                <a16:creationId xmlns:a16="http://schemas.microsoft.com/office/drawing/2014/main" id="{ECAAF8A6-B9C0-6DED-C179-8B839EC2691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21089" y="952500"/>
            <a:ext cx="895491" cy="647700"/>
          </a:xfrm>
          <a:prstGeom prst="rect">
            <a:avLst/>
          </a:prstGeom>
        </xdr:spPr>
      </xdr:pic>
    </xdr:grpSp>
    <xdr:clientData/>
  </xdr:twoCellAnchor>
  <xdr:twoCellAnchor>
    <xdr:from>
      <xdr:col>2</xdr:col>
      <xdr:colOff>998549</xdr:colOff>
      <xdr:row>3</xdr:row>
      <xdr:rowOff>149096</xdr:rowOff>
    </xdr:from>
    <xdr:to>
      <xdr:col>3</xdr:col>
      <xdr:colOff>1077367</xdr:colOff>
      <xdr:row>6</xdr:row>
      <xdr:rowOff>76603</xdr:rowOff>
    </xdr:to>
    <xdr:grpSp>
      <xdr:nvGrpSpPr>
        <xdr:cNvPr id="5" name="Nhóm 4">
          <a:extLst>
            <a:ext uri="{FF2B5EF4-FFF2-40B4-BE49-F238E27FC236}">
              <a16:creationId xmlns:a16="http://schemas.microsoft.com/office/drawing/2014/main" id="{2701A2AD-DB51-1E34-B646-C0E57C86DE03}"/>
            </a:ext>
          </a:extLst>
        </xdr:cNvPr>
        <xdr:cNvGrpSpPr/>
      </xdr:nvGrpSpPr>
      <xdr:grpSpPr>
        <a:xfrm>
          <a:off x="1972216" y="879346"/>
          <a:ext cx="1137151" cy="657757"/>
          <a:chOff x="1295400" y="1112520"/>
          <a:chExt cx="899160" cy="827045"/>
        </a:xfrm>
      </xdr:grpSpPr>
      <xdr:sp macro="[0]!xulydulieutho" textlink="">
        <xdr:nvSpPr>
          <xdr:cNvPr id="19" name="Hình chữ nhật 18">
            <a:extLst>
              <a:ext uri="{FF2B5EF4-FFF2-40B4-BE49-F238E27FC236}">
                <a16:creationId xmlns:a16="http://schemas.microsoft.com/office/drawing/2014/main" id="{34DC5070-85B9-9366-A6DC-6BCAA720F17F}"/>
              </a:ext>
            </a:extLst>
          </xdr:cNvPr>
          <xdr:cNvSpPr/>
        </xdr:nvSpPr>
        <xdr:spPr>
          <a:xfrm>
            <a:off x="1295400" y="1112520"/>
            <a:ext cx="899160" cy="827045"/>
          </a:xfrm>
          <a:prstGeom prst="rect">
            <a:avLst/>
          </a:prstGeom>
          <a:solidFill>
            <a:schemeClr val="accent5">
              <a:lumMod val="75000"/>
            </a:schemeClr>
          </a:solidFill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l"/>
            <a:r>
              <a:rPr lang="en-US" sz="700" b="1" baseline="0"/>
              <a:t>Bảng chấm công</a:t>
            </a:r>
            <a:endParaRPr lang="vi-VN" sz="700" b="1"/>
          </a:p>
        </xdr:txBody>
      </xdr:sp>
      <xdr:pic macro="[0]!xulydulieutho">
        <xdr:nvPicPr>
          <xdr:cNvPr id="20" name="Hình ảnh 19">
            <a:extLst>
              <a:ext uri="{FF2B5EF4-FFF2-40B4-BE49-F238E27FC236}">
                <a16:creationId xmlns:a16="http://schemas.microsoft.com/office/drawing/2014/main" id="{D3D6D63D-8B55-BACF-7C06-6334BE3A70C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303020" y="1135379"/>
            <a:ext cx="883920" cy="617221"/>
          </a:xfrm>
          <a:prstGeom prst="rect">
            <a:avLst/>
          </a:prstGeom>
          <a:solidFill>
            <a:schemeClr val="accent5">
              <a:lumMod val="75000"/>
            </a:schemeClr>
          </a:solidFill>
        </xdr:spPr>
      </xdr:pic>
    </xdr:grpSp>
    <xdr:clientData/>
  </xdr:twoCellAnchor>
  <xdr:twoCellAnchor>
    <xdr:from>
      <xdr:col>5</xdr:col>
      <xdr:colOff>369809</xdr:colOff>
      <xdr:row>3</xdr:row>
      <xdr:rowOff>162805</xdr:rowOff>
    </xdr:from>
    <xdr:to>
      <xdr:col>5</xdr:col>
      <xdr:colOff>1500595</xdr:colOff>
      <xdr:row>6</xdr:row>
      <xdr:rowOff>61280</xdr:rowOff>
    </xdr:to>
    <xdr:grpSp>
      <xdr:nvGrpSpPr>
        <xdr:cNvPr id="6" name="Nhóm 5">
          <a:extLst>
            <a:ext uri="{FF2B5EF4-FFF2-40B4-BE49-F238E27FC236}">
              <a16:creationId xmlns:a16="http://schemas.microsoft.com/office/drawing/2014/main" id="{B6C8C224-BF3B-B948-0F15-4ACF76BDBF43}"/>
            </a:ext>
          </a:extLst>
        </xdr:cNvPr>
        <xdr:cNvGrpSpPr/>
      </xdr:nvGrpSpPr>
      <xdr:grpSpPr>
        <a:xfrm>
          <a:off x="5523892" y="893055"/>
          <a:ext cx="1130786" cy="628725"/>
          <a:chOff x="2339340" y="1120140"/>
          <a:chExt cx="693420" cy="678504"/>
        </a:xfrm>
      </xdr:grpSpPr>
      <xdr:sp macro="[0]!tinhcong" textlink="">
        <xdr:nvSpPr>
          <xdr:cNvPr id="17" name="Hình chữ nhật 16">
            <a:extLst>
              <a:ext uri="{FF2B5EF4-FFF2-40B4-BE49-F238E27FC236}">
                <a16:creationId xmlns:a16="http://schemas.microsoft.com/office/drawing/2014/main" id="{5561437B-C00D-5E45-6610-4E3705BED519}"/>
              </a:ext>
            </a:extLst>
          </xdr:cNvPr>
          <xdr:cNvSpPr/>
        </xdr:nvSpPr>
        <xdr:spPr>
          <a:xfrm>
            <a:off x="2339340" y="1120140"/>
            <a:ext cx="693420" cy="678504"/>
          </a:xfrm>
          <a:prstGeom prst="rect">
            <a:avLst/>
          </a:prstGeom>
          <a:solidFill>
            <a:srgbClr val="00B050"/>
          </a:solidFill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ctr"/>
            <a:r>
              <a:rPr lang="en-US" sz="1000" b="1"/>
              <a:t>Tính</a:t>
            </a:r>
            <a:r>
              <a:rPr lang="en-US" sz="1000" b="1" baseline="0"/>
              <a:t> công</a:t>
            </a:r>
            <a:endParaRPr lang="vi-VN" sz="1000" b="1"/>
          </a:p>
        </xdr:txBody>
      </xdr:sp>
      <xdr:pic macro="[0]!tinhcong">
        <xdr:nvPicPr>
          <xdr:cNvPr id="18" name="Hình ảnh 17">
            <a:extLst>
              <a:ext uri="{FF2B5EF4-FFF2-40B4-BE49-F238E27FC236}">
                <a16:creationId xmlns:a16="http://schemas.microsoft.com/office/drawing/2014/main" id="{48F67C08-1806-EFB8-277B-DAB9CAA3ABA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362200" y="1127760"/>
            <a:ext cx="662940" cy="478155"/>
          </a:xfrm>
          <a:prstGeom prst="rect">
            <a:avLst/>
          </a:prstGeom>
        </xdr:spPr>
      </xdr:pic>
    </xdr:grpSp>
    <xdr:clientData/>
  </xdr:twoCellAnchor>
  <xdr:twoCellAnchor>
    <xdr:from>
      <xdr:col>2</xdr:col>
      <xdr:colOff>394998</xdr:colOff>
      <xdr:row>4</xdr:row>
      <xdr:rowOff>77352</xdr:rowOff>
    </xdr:from>
    <xdr:to>
      <xdr:col>2</xdr:col>
      <xdr:colOff>827116</xdr:colOff>
      <xdr:row>5</xdr:row>
      <xdr:rowOff>101574</xdr:rowOff>
    </xdr:to>
    <xdr:sp macro="" textlink="">
      <xdr:nvSpPr>
        <xdr:cNvPr id="7" name="Mũi tên: Phải 6">
          <a:extLst>
            <a:ext uri="{FF2B5EF4-FFF2-40B4-BE49-F238E27FC236}">
              <a16:creationId xmlns:a16="http://schemas.microsoft.com/office/drawing/2014/main" id="{5D154DBC-1082-06C2-41DD-EDD509D827D8}"/>
            </a:ext>
          </a:extLst>
        </xdr:cNvPr>
        <xdr:cNvSpPr/>
      </xdr:nvSpPr>
      <xdr:spPr>
        <a:xfrm>
          <a:off x="1504131" y="1093352"/>
          <a:ext cx="432118" cy="278222"/>
        </a:xfrm>
        <a:prstGeom prst="rightArrow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vi-VN" sz="1100"/>
        </a:p>
      </xdr:txBody>
    </xdr:sp>
    <xdr:clientData/>
  </xdr:twoCellAnchor>
  <xdr:twoCellAnchor>
    <xdr:from>
      <xdr:col>3</xdr:col>
      <xdr:colOff>1279342</xdr:colOff>
      <xdr:row>4</xdr:row>
      <xdr:rowOff>79771</xdr:rowOff>
    </xdr:from>
    <xdr:to>
      <xdr:col>3</xdr:col>
      <xdr:colOff>1712633</xdr:colOff>
      <xdr:row>5</xdr:row>
      <xdr:rowOff>103993</xdr:rowOff>
    </xdr:to>
    <xdr:sp macro="" textlink="">
      <xdr:nvSpPr>
        <xdr:cNvPr id="8" name="Mũi tên: Phải 7">
          <a:extLst>
            <a:ext uri="{FF2B5EF4-FFF2-40B4-BE49-F238E27FC236}">
              <a16:creationId xmlns:a16="http://schemas.microsoft.com/office/drawing/2014/main" id="{8B5A6782-A5C9-5FDE-0B92-7BEB853E1C77}"/>
            </a:ext>
          </a:extLst>
        </xdr:cNvPr>
        <xdr:cNvSpPr/>
      </xdr:nvSpPr>
      <xdr:spPr>
        <a:xfrm>
          <a:off x="3429875" y="1095771"/>
          <a:ext cx="433291" cy="278222"/>
        </a:xfrm>
        <a:prstGeom prst="rightArrow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vi-VN" sz="1100"/>
        </a:p>
      </xdr:txBody>
    </xdr:sp>
    <xdr:clientData/>
  </xdr:twoCellAnchor>
  <xdr:twoCellAnchor>
    <xdr:from>
      <xdr:col>4</xdr:col>
      <xdr:colOff>636468</xdr:colOff>
      <xdr:row>4</xdr:row>
      <xdr:rowOff>78965</xdr:rowOff>
    </xdr:from>
    <xdr:to>
      <xdr:col>5</xdr:col>
      <xdr:colOff>180759</xdr:colOff>
      <xdr:row>5</xdr:row>
      <xdr:rowOff>103187</xdr:rowOff>
    </xdr:to>
    <xdr:sp macro="" textlink="">
      <xdr:nvSpPr>
        <xdr:cNvPr id="9" name="Mũi tên: Phải 8">
          <a:extLst>
            <a:ext uri="{FF2B5EF4-FFF2-40B4-BE49-F238E27FC236}">
              <a16:creationId xmlns:a16="http://schemas.microsoft.com/office/drawing/2014/main" id="{662EF532-EFC1-E4D1-DFA5-1B3F21B869EA}"/>
            </a:ext>
          </a:extLst>
        </xdr:cNvPr>
        <xdr:cNvSpPr/>
      </xdr:nvSpPr>
      <xdr:spPr>
        <a:xfrm>
          <a:off x="5462468" y="1094965"/>
          <a:ext cx="433291" cy="278222"/>
        </a:xfrm>
        <a:prstGeom prst="rightArrow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vi-VN" sz="1100"/>
        </a:p>
      </xdr:txBody>
    </xdr:sp>
    <xdr:clientData/>
  </xdr:twoCellAnchor>
  <xdr:twoCellAnchor>
    <xdr:from>
      <xdr:col>6</xdr:col>
      <xdr:colOff>634292</xdr:colOff>
      <xdr:row>3</xdr:row>
      <xdr:rowOff>149095</xdr:rowOff>
    </xdr:from>
    <xdr:to>
      <xdr:col>7</xdr:col>
      <xdr:colOff>794504</xdr:colOff>
      <xdr:row>6</xdr:row>
      <xdr:rowOff>76602</xdr:rowOff>
    </xdr:to>
    <xdr:grpSp>
      <xdr:nvGrpSpPr>
        <xdr:cNvPr id="10" name="Nhóm 9">
          <a:extLst>
            <a:ext uri="{FF2B5EF4-FFF2-40B4-BE49-F238E27FC236}">
              <a16:creationId xmlns:a16="http://schemas.microsoft.com/office/drawing/2014/main" id="{C60A3F33-7919-1BBC-4A3F-82848180E913}"/>
            </a:ext>
          </a:extLst>
        </xdr:cNvPr>
        <xdr:cNvGrpSpPr/>
      </xdr:nvGrpSpPr>
      <xdr:grpSpPr>
        <a:xfrm>
          <a:off x="7333542" y="879345"/>
          <a:ext cx="985712" cy="657757"/>
          <a:chOff x="4312920" y="1737360"/>
          <a:chExt cx="815340" cy="716280"/>
        </a:xfrm>
      </xdr:grpSpPr>
      <xdr:sp macro="[0]!inputvebangchamcong" textlink="">
        <xdr:nvSpPr>
          <xdr:cNvPr id="15" name="Hình chữ nhật 14">
            <a:extLst>
              <a:ext uri="{FF2B5EF4-FFF2-40B4-BE49-F238E27FC236}">
                <a16:creationId xmlns:a16="http://schemas.microsoft.com/office/drawing/2014/main" id="{21B7305A-B1B1-3532-E3F5-2B56584A21B8}"/>
              </a:ext>
            </a:extLst>
          </xdr:cNvPr>
          <xdr:cNvSpPr/>
        </xdr:nvSpPr>
        <xdr:spPr>
          <a:xfrm>
            <a:off x="4312920" y="1737360"/>
            <a:ext cx="815340" cy="716280"/>
          </a:xfrm>
          <a:prstGeom prst="rect">
            <a:avLst/>
          </a:prstGeom>
          <a:solidFill>
            <a:schemeClr val="bg2">
              <a:lumMod val="25000"/>
            </a:schemeClr>
          </a:solidFill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ctr"/>
            <a:r>
              <a:rPr lang="en-US" sz="700" b="1"/>
              <a:t>Sang</a:t>
            </a:r>
            <a:r>
              <a:rPr lang="en-US" sz="700" b="1" baseline="0"/>
              <a:t> chấm công</a:t>
            </a:r>
            <a:endParaRPr lang="vi-VN" sz="700" b="1"/>
          </a:p>
        </xdr:txBody>
      </xdr:sp>
      <xdr:pic macro="[0]!inputvebangchamcong">
        <xdr:nvPicPr>
          <xdr:cNvPr id="16" name="Hình ảnh 15">
            <a:extLst>
              <a:ext uri="{FF2B5EF4-FFF2-40B4-BE49-F238E27FC236}">
                <a16:creationId xmlns:a16="http://schemas.microsoft.com/office/drawing/2014/main" id="{65C24150-F0BD-4366-BD0E-82ADDBADC97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328160" y="1752600"/>
            <a:ext cx="800100" cy="527683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1901670</xdr:colOff>
      <xdr:row>3</xdr:row>
      <xdr:rowOff>143451</xdr:rowOff>
    </xdr:from>
    <xdr:to>
      <xdr:col>4</xdr:col>
      <xdr:colOff>346421</xdr:colOff>
      <xdr:row>6</xdr:row>
      <xdr:rowOff>70958</xdr:rowOff>
    </xdr:to>
    <xdr:grpSp>
      <xdr:nvGrpSpPr>
        <xdr:cNvPr id="11" name="Nhóm 10">
          <a:extLst>
            <a:ext uri="{FF2B5EF4-FFF2-40B4-BE49-F238E27FC236}">
              <a16:creationId xmlns:a16="http://schemas.microsoft.com/office/drawing/2014/main" id="{514A97A5-B873-CD58-73AE-1DF16D54C94A}"/>
            </a:ext>
          </a:extLst>
        </xdr:cNvPr>
        <xdr:cNvGrpSpPr/>
      </xdr:nvGrpSpPr>
      <xdr:grpSpPr>
        <a:xfrm>
          <a:off x="3933670" y="873701"/>
          <a:ext cx="783668" cy="657757"/>
          <a:chOff x="6595533" y="1524000"/>
          <a:chExt cx="807720" cy="723900"/>
        </a:xfrm>
      </xdr:grpSpPr>
      <xdr:sp macro="[0]!tinhgioravao" textlink="">
        <xdr:nvSpPr>
          <xdr:cNvPr id="13" name="Hình chữ nhật 12">
            <a:extLst>
              <a:ext uri="{FF2B5EF4-FFF2-40B4-BE49-F238E27FC236}">
                <a16:creationId xmlns:a16="http://schemas.microsoft.com/office/drawing/2014/main" id="{3970A72D-5CAA-8C9F-A011-58A63DDB50AB}"/>
              </a:ext>
            </a:extLst>
          </xdr:cNvPr>
          <xdr:cNvSpPr/>
        </xdr:nvSpPr>
        <xdr:spPr>
          <a:xfrm>
            <a:off x="6595533" y="1524000"/>
            <a:ext cx="807720" cy="723900"/>
          </a:xfrm>
          <a:prstGeom prst="rect">
            <a:avLst/>
          </a:prstGeom>
          <a:solidFill>
            <a:schemeClr val="accent2">
              <a:lumMod val="75000"/>
            </a:schemeClr>
          </a:solidFill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ctr"/>
            <a:r>
              <a:rPr lang="en-US" sz="900" b="1" baseline="0"/>
              <a:t>GIỜ  RA-VÀO</a:t>
            </a:r>
            <a:endParaRPr lang="vi-VN" sz="900" b="1"/>
          </a:p>
        </xdr:txBody>
      </xdr:sp>
      <xdr:pic macro="[0]!tinhgioravao">
        <xdr:nvPicPr>
          <xdr:cNvPr id="14" name="Hình ảnh 13">
            <a:extLst>
              <a:ext uri="{FF2B5EF4-FFF2-40B4-BE49-F238E27FC236}">
                <a16:creationId xmlns:a16="http://schemas.microsoft.com/office/drawing/2014/main" id="{B15843C4-9E73-334A-79BB-7AFF3107F3E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612467" y="1540932"/>
            <a:ext cx="778932" cy="499535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1684953</xdr:colOff>
      <xdr:row>4</xdr:row>
      <xdr:rowOff>87027</xdr:rowOff>
    </xdr:from>
    <xdr:to>
      <xdr:col>6</xdr:col>
      <xdr:colOff>357177</xdr:colOff>
      <xdr:row>5</xdr:row>
      <xdr:rowOff>111249</xdr:rowOff>
    </xdr:to>
    <xdr:sp macro="" textlink="">
      <xdr:nvSpPr>
        <xdr:cNvPr id="12" name="Mũi tên: Phải 11">
          <a:extLst>
            <a:ext uri="{FF2B5EF4-FFF2-40B4-BE49-F238E27FC236}">
              <a16:creationId xmlns:a16="http://schemas.microsoft.com/office/drawing/2014/main" id="{30DC2DD3-294B-1EC6-97DC-66DD64060CBD}"/>
            </a:ext>
          </a:extLst>
        </xdr:cNvPr>
        <xdr:cNvSpPr/>
      </xdr:nvSpPr>
      <xdr:spPr>
        <a:xfrm>
          <a:off x="7399953" y="1103027"/>
          <a:ext cx="433291" cy="278222"/>
        </a:xfrm>
        <a:prstGeom prst="rightArrow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vi-VN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32288</xdr:colOff>
      <xdr:row>48</xdr:row>
      <xdr:rowOff>56504</xdr:rowOff>
    </xdr:from>
    <xdr:to>
      <xdr:col>0</xdr:col>
      <xdr:colOff>242161</xdr:colOff>
      <xdr:row>48</xdr:row>
      <xdr:rowOff>185656</xdr:rowOff>
    </xdr:to>
    <xdr:sp macro="" textlink="">
      <xdr:nvSpPr>
        <xdr:cNvPr id="3" name="Arrow: Striped Right 2">
          <a:extLst>
            <a:ext uri="{FF2B5EF4-FFF2-40B4-BE49-F238E27FC236}">
              <a16:creationId xmlns:a16="http://schemas.microsoft.com/office/drawing/2014/main" id="{61DCD5BA-C264-0B52-CD7A-8DAE7F46ED1F}"/>
            </a:ext>
          </a:extLst>
        </xdr:cNvPr>
        <xdr:cNvSpPr/>
      </xdr:nvSpPr>
      <xdr:spPr>
        <a:xfrm>
          <a:off x="32288" y="8515996"/>
          <a:ext cx="209873" cy="129152"/>
        </a:xfrm>
        <a:prstGeom prst="stripedRightArrow">
          <a:avLst/>
        </a:prstGeom>
        <a:solidFill>
          <a:srgbClr val="FF0000"/>
        </a:solidFill>
        <a:ln w="3175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LI&#7870;N\BANG%20LUONG\2024\TH&#193;NG%204\B&#7842;N%20L&#431;&#416;NG%20VVP%20T&#7914;%2016.2%20&#272;&#7870;N%2015.3.2024%20-%20Copy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vinhphat\M&#225;y%20t&#237;nh\L&#7897;c\B&#7842;NG%20L&#431;&#416;NG%20A7A%20V3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vinhphat\Users\admin\Documents\Zalo%20Received%20Files\B&#7842;N%20L&#431;&#416;NG%20VVP%20(1)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Kangatang"/>
      <sheetName val="Menu"/>
      <sheetName val="Danh muc"/>
      <sheetName val=" Bảng chấm công"/>
      <sheetName val="Bảng chi tiết lương"/>
      <sheetName val="Bang Thanh Toan Luong"/>
      <sheetName val="Print phiếu lương"/>
    </sheetNames>
    <sheetDataSet>
      <sheetData sheetId="0"/>
      <sheetData sheetId="1"/>
      <sheetData sheetId="2">
        <row r="4">
          <cell r="C4" t="str">
            <v>HỌ VÀ TÊN</v>
          </cell>
        </row>
        <row r="6">
          <cell r="C6" t="str">
            <v>Nguyễn Được Thưởng</v>
          </cell>
        </row>
        <row r="7">
          <cell r="C7" t="str">
            <v>Nguyễn Thị Liến</v>
          </cell>
        </row>
        <row r="8">
          <cell r="C8" t="str">
            <v>Phan Hiệp Thành Danh</v>
          </cell>
        </row>
        <row r="9">
          <cell r="C9" t="str">
            <v>Nguyễn Trung Kiên</v>
          </cell>
        </row>
        <row r="10">
          <cell r="C10" t="str">
            <v>Lê Đức Trọng</v>
          </cell>
        </row>
        <row r="11">
          <cell r="C11" t="str">
            <v>Trần Phi Long</v>
          </cell>
        </row>
        <row r="12">
          <cell r="C12" t="str">
            <v>Lê Thành Trung</v>
          </cell>
        </row>
        <row r="13">
          <cell r="C13" t="str">
            <v>Nguyễn Tấn Nghĩa</v>
          </cell>
        </row>
        <row r="14">
          <cell r="C14" t="str">
            <v>Phan Thành Triệu</v>
          </cell>
        </row>
        <row r="15">
          <cell r="C15" t="str">
            <v>Võ Duy Thanh</v>
          </cell>
        </row>
        <row r="16">
          <cell r="C16" t="str">
            <v>Phan Thị Ngọc Hân</v>
          </cell>
        </row>
        <row r="17">
          <cell r="C17" t="str">
            <v>Huỳnh Lê Nhật Ly</v>
          </cell>
        </row>
        <row r="18">
          <cell r="C18" t="str">
            <v>Nguyễn Thùy Trang</v>
          </cell>
        </row>
        <row r="19">
          <cell r="C19" t="str">
            <v>Nguyễn Thị Huế Trân</v>
          </cell>
        </row>
        <row r="20">
          <cell r="C20" t="str">
            <v>Nguyễn Thị Bé Năm</v>
          </cell>
        </row>
        <row r="21">
          <cell r="C21" t="str">
            <v>Nguyễn Thị Sang</v>
          </cell>
        </row>
        <row r="22">
          <cell r="C22" t="str">
            <v>Lê Thị Kim Chi</v>
          </cell>
        </row>
        <row r="23">
          <cell r="C23" t="str">
            <v>Nguyễn Thị Ngọc Linh</v>
          </cell>
        </row>
        <row r="24">
          <cell r="C24" t="str">
            <v>Nguyễn Thị Diễm Mi</v>
          </cell>
        </row>
        <row r="25">
          <cell r="C25" t="str">
            <v>Trần Thị Nà Ni</v>
          </cell>
        </row>
        <row r="26">
          <cell r="C26" t="str">
            <v>Lê Thị Kim Thoa</v>
          </cell>
        </row>
        <row r="27">
          <cell r="C27" t="str">
            <v>Nguyễn Chí Tài</v>
          </cell>
        </row>
        <row r="28">
          <cell r="C28" t="str">
            <v>Võ Minh Hiếu</v>
          </cell>
        </row>
        <row r="29">
          <cell r="C29" t="str">
            <v>Danh Lực</v>
          </cell>
        </row>
        <row r="30">
          <cell r="C30" t="str">
            <v>Phạm Thị Kim Huệ</v>
          </cell>
        </row>
        <row r="31">
          <cell r="C31" t="str">
            <v>Đoàn Hữu Duy Linh</v>
          </cell>
        </row>
        <row r="32">
          <cell r="C32" t="str">
            <v>Hồ Thị Ngọc Hiền</v>
          </cell>
        </row>
        <row r="33">
          <cell r="C33" t="str">
            <v>Lê Hoàng Thanh nam</v>
          </cell>
        </row>
        <row r="34">
          <cell r="C34" t="str">
            <v>Nguyễn Thành Nhân</v>
          </cell>
        </row>
        <row r="35">
          <cell r="C35" t="str">
            <v>Nguyễn Duy Linh</v>
          </cell>
        </row>
        <row r="36">
          <cell r="C36" t="str">
            <v>Phan Thị Thúy Hằng</v>
          </cell>
        </row>
        <row r="37">
          <cell r="C37" t="str">
            <v>Trần Thị Trúc</v>
          </cell>
        </row>
        <row r="38">
          <cell r="C38" t="str">
            <v>Huỳnh Thị Cẩm Tú</v>
          </cell>
        </row>
        <row r="39">
          <cell r="C39" t="str">
            <v>Đinh Phương Thảo</v>
          </cell>
        </row>
        <row r="40">
          <cell r="C40" t="str">
            <v>Nguyễn Khánh Duy</v>
          </cell>
        </row>
        <row r="41">
          <cell r="C41" t="str">
            <v>Trần Thị cẩm Tiên</v>
          </cell>
        </row>
        <row r="42">
          <cell r="C42" t="str">
            <v>Trương Tấn Đạt</v>
          </cell>
        </row>
        <row r="43">
          <cell r="C43" t="str">
            <v>Lê Minh Phát</v>
          </cell>
        </row>
        <row r="44">
          <cell r="C44" t="str">
            <v>Phan Châu Anh</v>
          </cell>
        </row>
        <row r="45">
          <cell r="C45" t="str">
            <v>Nguyễn Thị Hoa</v>
          </cell>
        </row>
        <row r="46">
          <cell r="C46" t="str">
            <v>Phan Thị Ngọc Trâm</v>
          </cell>
        </row>
        <row r="47">
          <cell r="C47" t="str">
            <v>Triệu Thị Trang</v>
          </cell>
        </row>
        <row r="48">
          <cell r="C48" t="str">
            <v>Hồ Sóng Vỗ</v>
          </cell>
        </row>
        <row r="49">
          <cell r="C49" t="str">
            <v>Nguyễn Thị Nhớ</v>
          </cell>
        </row>
        <row r="50">
          <cell r="C50" t="str">
            <v>Thạch Thị Sô Khone</v>
          </cell>
        </row>
        <row r="51">
          <cell r="C51" t="str">
            <v>Huỳnh Thị Mỹ Nhiên</v>
          </cell>
        </row>
        <row r="52">
          <cell r="C52" t="str">
            <v>Lê Nguyễn Hoài Nam</v>
          </cell>
        </row>
        <row r="53">
          <cell r="C53" t="str">
            <v>Nguyễn Thị Ngọc Xinh</v>
          </cell>
        </row>
        <row r="54">
          <cell r="C54" t="str">
            <v>Lâm Thị Kim Huôi</v>
          </cell>
        </row>
        <row r="55">
          <cell r="C55" t="str">
            <v>Nguyễn Tấn Lộc</v>
          </cell>
        </row>
        <row r="56">
          <cell r="C56" t="str">
            <v>Nguyễn Thị Hồng Nhung</v>
          </cell>
        </row>
        <row r="57">
          <cell r="C57" t="str">
            <v>Trần Quốc Nhị</v>
          </cell>
        </row>
        <row r="58">
          <cell r="C58" t="str">
            <v>Nguyễn Thanh Đông</v>
          </cell>
        </row>
        <row r="59">
          <cell r="C59" t="str">
            <v>Nguyễn Bảo Toàn</v>
          </cell>
        </row>
        <row r="60">
          <cell r="C60" t="str">
            <v>Ngô Dương Thùy Trang</v>
          </cell>
        </row>
        <row r="61">
          <cell r="C61" t="str">
            <v>Nông Thị Hiền</v>
          </cell>
        </row>
        <row r="62">
          <cell r="C62" t="str">
            <v>Nguyễn Đoàn Duy Khương</v>
          </cell>
        </row>
      </sheetData>
      <sheetData sheetId="3">
        <row r="6">
          <cell r="E6">
            <v>323.25</v>
          </cell>
        </row>
      </sheetData>
      <sheetData sheetId="4">
        <row r="5">
          <cell r="C5" t="str">
            <v>Họ và Tên</v>
          </cell>
        </row>
      </sheetData>
      <sheetData sheetId="5"/>
      <sheetData sheetId="6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Kangatang"/>
      <sheetName val="Menu"/>
      <sheetName val="Danh muc"/>
      <sheetName val="Bang Thanh Toan Luong"/>
      <sheetName val="Bảng chi tiết lương"/>
      <sheetName val="CÓ SỐ TÀI KHOẢN A7A"/>
      <sheetName val=" Bảng chấm công"/>
      <sheetName val="Print phiếu lương"/>
      <sheetName val="Data chấm công"/>
    </sheetNames>
    <sheetDataSet>
      <sheetData sheetId="0"/>
      <sheetData sheetId="1"/>
      <sheetData sheetId="2">
        <row r="6">
          <cell r="C6" t="str">
            <v>Nguyễn Văn Nhường</v>
          </cell>
        </row>
        <row r="7">
          <cell r="C7" t="str">
            <v>Huỳnh Văn Thanh</v>
          </cell>
        </row>
        <row r="8">
          <cell r="C8" t="str">
            <v>Phạm Thị Quỳnh</v>
          </cell>
        </row>
        <row r="9">
          <cell r="C9" t="str">
            <v xml:space="preserve">Nguyễn Minh Thùy </v>
          </cell>
        </row>
        <row r="10">
          <cell r="C10" t="str">
            <v>Trần Thanh Võ</v>
          </cell>
        </row>
        <row r="11">
          <cell r="C11" t="str">
            <v>Nguyễn Chí Nhân</v>
          </cell>
        </row>
        <row r="12">
          <cell r="C12" t="str">
            <v>Nguyễn Thị Tuyết</v>
          </cell>
        </row>
        <row r="13">
          <cell r="C13" t="str">
            <v>Trần Thị Ngọc Trâm</v>
          </cell>
        </row>
        <row r="14">
          <cell r="C14" t="str">
            <v>Tăng Thị Vành Na</v>
          </cell>
        </row>
        <row r="15">
          <cell r="C15" t="str">
            <v>Nguyễn Hồng Thọ</v>
          </cell>
        </row>
        <row r="16">
          <cell r="C16" t="str">
            <v>Huỳnh Ngọc Hương</v>
          </cell>
        </row>
        <row r="17">
          <cell r="C17" t="str">
            <v>Nguyễn Thị Thu Sang</v>
          </cell>
        </row>
        <row r="18">
          <cell r="C18" t="str">
            <v>Nguyễn Minh Khoa</v>
          </cell>
        </row>
      </sheetData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Kangatang"/>
      <sheetName val="Menu"/>
      <sheetName val="Danh muc"/>
      <sheetName val="Bang Thanh Toan Luong"/>
      <sheetName val="Bảng chi tiết lương"/>
      <sheetName val=" Bảng chấm công"/>
      <sheetName val="Print phiếu lương"/>
      <sheetName val="BẢN LƯƠNG VVP (1)"/>
    </sheetNames>
    <sheetDataSet>
      <sheetData sheetId="0"/>
      <sheetData sheetId="1"/>
      <sheetData sheetId="2">
        <row r="6">
          <cell r="C6" t="str">
            <v>Nguyễn Hồng Thọ</v>
          </cell>
        </row>
        <row r="7">
          <cell r="C7" t="str">
            <v>Nguyễn Được Thưởng</v>
          </cell>
        </row>
        <row r="8">
          <cell r="C8" t="str">
            <v>Nguyễn Thị Liến</v>
          </cell>
        </row>
        <row r="9">
          <cell r="C9" t="str">
            <v>Phan Hiệp Thành Danh</v>
          </cell>
        </row>
        <row r="10">
          <cell r="C10" t="str">
            <v>Nguyễn Trung Kiên</v>
          </cell>
        </row>
        <row r="11">
          <cell r="C11" t="str">
            <v>Phạm Minh Hải</v>
          </cell>
        </row>
        <row r="12">
          <cell r="C12" t="str">
            <v>Lê Đức Trọng</v>
          </cell>
        </row>
        <row r="13">
          <cell r="C13" t="str">
            <v>Trần Phi Long</v>
          </cell>
        </row>
        <row r="14">
          <cell r="C14" t="str">
            <v>Lê Thành Trung</v>
          </cell>
        </row>
        <row r="15">
          <cell r="C15" t="str">
            <v>Nguyễn Tấn Nghĩa</v>
          </cell>
        </row>
        <row r="16">
          <cell r="C16" t="str">
            <v>Phan Thành Triệu</v>
          </cell>
        </row>
        <row r="17">
          <cell r="C17" t="str">
            <v>Võ Duy Thanh</v>
          </cell>
        </row>
        <row r="18">
          <cell r="C18" t="str">
            <v>Phan Thị Ngọc Hân</v>
          </cell>
        </row>
        <row r="19">
          <cell r="C19" t="str">
            <v>Huỳnh Lê Nhật Ly</v>
          </cell>
        </row>
        <row r="20">
          <cell r="C20" t="str">
            <v>Nguyễn Thùy Trang</v>
          </cell>
        </row>
        <row r="21">
          <cell r="C21" t="str">
            <v>Nguyễn Thị Huế Trân</v>
          </cell>
        </row>
        <row r="22">
          <cell r="C22" t="str">
            <v>Nguyễn Thị Bé Năm</v>
          </cell>
        </row>
        <row r="23">
          <cell r="C23" t="str">
            <v>Nguyễn Thị Sang</v>
          </cell>
        </row>
        <row r="24">
          <cell r="C24" t="str">
            <v>Lê Thị Kim Chi</v>
          </cell>
        </row>
        <row r="25">
          <cell r="C25" t="str">
            <v>Nguyễn Thị Ngọc Linh</v>
          </cell>
        </row>
        <row r="26">
          <cell r="C26" t="str">
            <v>Nguyễn Thị Diễm Mi</v>
          </cell>
        </row>
        <row r="27">
          <cell r="C27" t="str">
            <v>Nguyễn Thị Ngọc Xinh</v>
          </cell>
        </row>
        <row r="28">
          <cell r="C28" t="str">
            <v>Trần Thị Nà Ni</v>
          </cell>
        </row>
        <row r="29">
          <cell r="C29" t="str">
            <v>Lê Thị Kim Thoa</v>
          </cell>
        </row>
        <row r="30">
          <cell r="C30" t="str">
            <v>Nguyễn Chí Tài</v>
          </cell>
        </row>
        <row r="31">
          <cell r="C31" t="str">
            <v>Võ Minh Hiếu</v>
          </cell>
        </row>
        <row r="32">
          <cell r="C32" t="str">
            <v>Danh Lực</v>
          </cell>
        </row>
        <row r="33">
          <cell r="C33" t="str">
            <v>Phạm Thị Kim Huệ</v>
          </cell>
        </row>
        <row r="34">
          <cell r="C34" t="str">
            <v>Đoàn Hữu Duy Linh</v>
          </cell>
        </row>
        <row r="35">
          <cell r="C35" t="str">
            <v>Nguyễn Hồng Duyên</v>
          </cell>
        </row>
        <row r="36">
          <cell r="C36" t="str">
            <v>Hồ Thị Ngọc Hiền</v>
          </cell>
        </row>
        <row r="37">
          <cell r="C37" t="str">
            <v>Lê Hoàng Thanh nam</v>
          </cell>
        </row>
        <row r="38">
          <cell r="C38" t="str">
            <v>Nguyễn Thành Nhân</v>
          </cell>
        </row>
        <row r="39">
          <cell r="C39" t="str">
            <v>Nguyễn Duy Linh</v>
          </cell>
        </row>
        <row r="40">
          <cell r="C40" t="str">
            <v>Phan Thị Thúy Hằng</v>
          </cell>
        </row>
        <row r="41">
          <cell r="C41" t="str">
            <v>Trần Thị Trúc</v>
          </cell>
        </row>
        <row r="42">
          <cell r="C42" t="str">
            <v>Huỳnh Thị Cẩm Tú</v>
          </cell>
        </row>
        <row r="43">
          <cell r="C43" t="str">
            <v>Đinh Phương Thảo</v>
          </cell>
        </row>
        <row r="44">
          <cell r="C44" t="str">
            <v>Nguyễn Khánh Duy</v>
          </cell>
        </row>
        <row r="45">
          <cell r="C45" t="str">
            <v>Trần Thị cẩm Tiên</v>
          </cell>
        </row>
        <row r="46">
          <cell r="C46" t="str">
            <v>Nguyễn Thị Khánh</v>
          </cell>
        </row>
      </sheetData>
      <sheetData sheetId="3"/>
      <sheetData sheetId="4"/>
      <sheetData sheetId="5"/>
      <sheetData sheetId="6"/>
      <sheetData sheetId="7" refreshError="1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7"/>
  <dimension ref="A1"/>
  <sheetViews>
    <sheetView showGridLines="0" defaultGridColor="0" view="pageBreakPreview" colorId="0" workbookViewId="0"/>
  </sheetViews>
  <sheetFormatPr defaultRowHeight="15"/>
  <sheetData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"/>
  <sheetViews>
    <sheetView workbookViewId="0">
      <selection activeCell="G21" sqref="G21"/>
    </sheetView>
  </sheetViews>
  <sheetFormatPr defaultColWidth="8.85546875" defaultRowHeight="15"/>
  <cols>
    <col min="1" max="16384" width="8.85546875" style="15"/>
  </cols>
  <sheetData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AB108"/>
  <sheetViews>
    <sheetView showZeros="0" topLeftCell="A5" zoomScaleNormal="100" workbookViewId="0">
      <pane xSplit="5" ySplit="3" topLeftCell="G53" activePane="bottomRight" state="frozen"/>
      <selection activeCell="A5" sqref="A5"/>
      <selection pane="topRight" activeCell="F5" sqref="F5"/>
      <selection pane="bottomLeft" activeCell="A8" sqref="A8"/>
      <selection pane="bottomRight" activeCell="E8" sqref="E8:E61"/>
    </sheetView>
  </sheetViews>
  <sheetFormatPr defaultColWidth="9.140625" defaultRowHeight="15.75"/>
  <cols>
    <col min="1" max="1" width="5.28515625" style="359" customWidth="1"/>
    <col min="2" max="2" width="12.85546875" style="359" customWidth="1"/>
    <col min="3" max="3" width="24.7109375" style="359" customWidth="1"/>
    <col min="4" max="4" width="7.7109375" style="435" hidden="1" customWidth="1"/>
    <col min="5" max="5" width="16.85546875" style="359" customWidth="1"/>
    <col min="6" max="6" width="23" style="424" customWidth="1"/>
    <col min="7" max="7" width="10" style="359" customWidth="1"/>
    <col min="8" max="9" width="13.42578125" style="359" customWidth="1"/>
    <col min="10" max="13" width="15.42578125" style="359" customWidth="1"/>
    <col min="14" max="14" width="15.85546875" style="437" customWidth="1"/>
    <col min="15" max="15" width="12.5703125" style="437" customWidth="1"/>
    <col min="16" max="16" width="12.28515625" style="437" customWidth="1"/>
    <col min="17" max="18" width="17.7109375" style="438" customWidth="1"/>
    <col min="19" max="19" width="16.5703125" style="437" customWidth="1"/>
    <col min="20" max="20" width="11.42578125" style="437" customWidth="1"/>
    <col min="21" max="22" width="13.7109375" style="438" customWidth="1"/>
    <col min="23" max="23" width="14.42578125" style="359" customWidth="1"/>
    <col min="24" max="24" width="14.7109375" style="359" customWidth="1"/>
    <col min="25" max="25" width="17.5703125" style="359" customWidth="1"/>
    <col min="26" max="26" width="1.7109375" style="359" customWidth="1"/>
    <col min="27" max="27" width="3.28515625" style="359" customWidth="1"/>
    <col min="28" max="28" width="19" style="359" customWidth="1"/>
    <col min="29" max="16384" width="9.140625" style="359"/>
  </cols>
  <sheetData>
    <row r="1" spans="1:28" ht="32.25" hidden="1" customHeight="1">
      <c r="A1" s="353"/>
      <c r="B1" s="354"/>
      <c r="C1" s="354"/>
      <c r="D1" s="355"/>
      <c r="E1" s="354"/>
      <c r="F1" s="356"/>
      <c r="G1" s="354"/>
      <c r="H1" s="354"/>
      <c r="I1" s="354"/>
      <c r="J1" s="354"/>
      <c r="K1" s="354"/>
      <c r="L1" s="354"/>
      <c r="M1" s="354"/>
      <c r="N1" s="357"/>
      <c r="O1" s="357"/>
      <c r="P1" s="357"/>
      <c r="Q1" s="357"/>
      <c r="R1" s="357"/>
      <c r="S1" s="357"/>
      <c r="T1" s="357"/>
      <c r="U1" s="357"/>
      <c r="V1" s="357"/>
      <c r="W1" s="358"/>
      <c r="X1" s="358"/>
    </row>
    <row r="2" spans="1:28" ht="32.25" hidden="1" customHeight="1">
      <c r="A2" s="353"/>
      <c r="B2" s="354"/>
      <c r="C2" s="354"/>
      <c r="D2" s="355"/>
      <c r="E2" s="354"/>
      <c r="F2" s="356"/>
      <c r="G2" s="354"/>
      <c r="H2" s="354"/>
      <c r="I2" s="354"/>
      <c r="J2" s="354"/>
      <c r="K2" s="354"/>
      <c r="L2" s="354"/>
      <c r="M2" s="354"/>
      <c r="N2" s="357"/>
      <c r="O2" s="357"/>
      <c r="P2" s="357"/>
      <c r="Q2" s="357"/>
      <c r="R2" s="357"/>
      <c r="S2" s="357"/>
      <c r="T2" s="357"/>
      <c r="U2" s="357"/>
      <c r="V2" s="357"/>
      <c r="W2" s="358"/>
      <c r="X2" s="358"/>
    </row>
    <row r="3" spans="1:28" ht="32.25" hidden="1" customHeight="1">
      <c r="A3" s="353"/>
      <c r="B3" s="354"/>
      <c r="C3" s="354"/>
      <c r="D3" s="355"/>
      <c r="E3" s="354"/>
      <c r="F3" s="356"/>
      <c r="G3" s="354"/>
      <c r="H3" s="354"/>
      <c r="I3" s="354"/>
      <c r="J3" s="354"/>
      <c r="K3" s="354"/>
      <c r="L3" s="354"/>
      <c r="M3" s="354"/>
      <c r="N3" s="357"/>
      <c r="O3" s="357"/>
      <c r="P3" s="357"/>
      <c r="Q3" s="357"/>
      <c r="R3" s="357"/>
      <c r="S3" s="357"/>
      <c r="T3" s="357"/>
      <c r="U3" s="357"/>
      <c r="V3" s="357"/>
      <c r="W3" s="358"/>
      <c r="X3" s="358"/>
    </row>
    <row r="4" spans="1:28" ht="15" hidden="1" customHeight="1">
      <c r="A4" s="353"/>
      <c r="B4" s="353"/>
      <c r="C4" s="353"/>
      <c r="D4" s="360"/>
      <c r="E4" s="353"/>
      <c r="F4" s="361"/>
      <c r="G4" s="353"/>
      <c r="H4" s="353"/>
      <c r="I4" s="353"/>
      <c r="J4" s="353"/>
      <c r="K4" s="353"/>
      <c r="L4" s="353"/>
      <c r="M4" s="353"/>
      <c r="N4" s="357"/>
      <c r="O4" s="357"/>
      <c r="P4" s="357"/>
      <c r="Q4" s="357"/>
      <c r="R4" s="357"/>
      <c r="S4" s="357"/>
      <c r="T4" s="357"/>
      <c r="U4" s="357"/>
      <c r="V4" s="357"/>
      <c r="W4" s="358"/>
      <c r="X4" s="358"/>
    </row>
    <row r="5" spans="1:28" ht="21" customHeight="1">
      <c r="A5" s="362"/>
      <c r="B5" s="362"/>
      <c r="C5" s="362"/>
      <c r="D5" s="362"/>
      <c r="E5" s="362"/>
      <c r="F5" s="361"/>
      <c r="G5" s="362"/>
      <c r="H5" s="362"/>
      <c r="I5" s="362"/>
      <c r="J5" s="362"/>
      <c r="K5" s="362"/>
      <c r="L5" s="362"/>
      <c r="M5" s="362"/>
      <c r="N5" s="362"/>
      <c r="O5" s="362"/>
      <c r="P5" s="362"/>
      <c r="Q5" s="362"/>
      <c r="R5" s="362"/>
      <c r="S5" s="362"/>
      <c r="T5" s="362"/>
      <c r="U5" s="362"/>
      <c r="V5" s="362"/>
      <c r="W5" s="362"/>
      <c r="X5" s="362"/>
    </row>
    <row r="6" spans="1:28" s="367" customFormat="1" ht="36" hidden="1" customHeight="1">
      <c r="A6" s="363"/>
      <c r="B6" s="364"/>
      <c r="C6" s="363">
        <v>1</v>
      </c>
      <c r="D6" s="365">
        <v>2</v>
      </c>
      <c r="E6" s="363">
        <v>3</v>
      </c>
      <c r="F6" s="366">
        <v>4</v>
      </c>
      <c r="G6" s="363">
        <v>5</v>
      </c>
      <c r="H6" s="365">
        <v>6</v>
      </c>
      <c r="I6" s="363">
        <v>7</v>
      </c>
      <c r="J6" s="365">
        <v>8</v>
      </c>
      <c r="K6" s="363">
        <v>9</v>
      </c>
      <c r="L6" s="365">
        <v>10</v>
      </c>
      <c r="M6" s="363">
        <v>11</v>
      </c>
      <c r="N6" s="365">
        <v>12</v>
      </c>
      <c r="O6" s="363">
        <v>13</v>
      </c>
      <c r="P6" s="365">
        <v>14</v>
      </c>
      <c r="Q6" s="363">
        <v>15</v>
      </c>
      <c r="R6" s="363"/>
      <c r="S6" s="365">
        <v>16</v>
      </c>
      <c r="T6" s="363">
        <v>17</v>
      </c>
      <c r="U6" s="365">
        <v>18</v>
      </c>
      <c r="V6" s="363">
        <v>19</v>
      </c>
      <c r="W6" s="365">
        <v>20</v>
      </c>
      <c r="X6" s="363">
        <v>21</v>
      </c>
      <c r="Y6" s="365">
        <v>22</v>
      </c>
    </row>
    <row r="7" spans="1:28" ht="52.5" customHeight="1">
      <c r="A7" s="363" t="s">
        <v>7</v>
      </c>
      <c r="B7" s="368" t="s">
        <v>8</v>
      </c>
      <c r="C7" s="369" t="s">
        <v>84</v>
      </c>
      <c r="D7" s="370" t="s">
        <v>103</v>
      </c>
      <c r="E7" s="369" t="s">
        <v>11</v>
      </c>
      <c r="F7" s="371" t="s">
        <v>163</v>
      </c>
      <c r="G7" s="371" t="s">
        <v>224</v>
      </c>
      <c r="H7" s="372" t="s">
        <v>367</v>
      </c>
      <c r="I7" s="372" t="s">
        <v>368</v>
      </c>
      <c r="J7" s="372" t="s">
        <v>107</v>
      </c>
      <c r="K7" s="372" t="s">
        <v>108</v>
      </c>
      <c r="L7" s="372" t="s">
        <v>109</v>
      </c>
      <c r="M7" s="372" t="s">
        <v>70</v>
      </c>
      <c r="N7" s="373" t="s">
        <v>106</v>
      </c>
      <c r="O7" s="374" t="s">
        <v>86</v>
      </c>
      <c r="P7" s="372" t="s">
        <v>87</v>
      </c>
      <c r="Q7" s="375" t="s">
        <v>44</v>
      </c>
      <c r="R7" s="375" t="s">
        <v>375</v>
      </c>
      <c r="S7" s="375" t="s">
        <v>45</v>
      </c>
      <c r="T7" s="373" t="s">
        <v>102</v>
      </c>
      <c r="U7" s="375" t="s">
        <v>25</v>
      </c>
      <c r="V7" s="373" t="s">
        <v>85</v>
      </c>
      <c r="W7" s="372" t="s">
        <v>89</v>
      </c>
      <c r="X7" s="372" t="s">
        <v>88</v>
      </c>
      <c r="Y7" s="363" t="s">
        <v>104</v>
      </c>
      <c r="AB7" s="376" t="s">
        <v>323</v>
      </c>
    </row>
    <row r="8" spans="1:28" ht="22.5" customHeight="1">
      <c r="A8" s="377">
        <v>1</v>
      </c>
      <c r="B8" s="366">
        <v>15110600</v>
      </c>
      <c r="C8" s="378" t="s">
        <v>2</v>
      </c>
      <c r="D8" s="365">
        <f>B8</f>
        <v>15110600</v>
      </c>
      <c r="E8" s="379" t="s">
        <v>289</v>
      </c>
      <c r="F8" s="380" t="s">
        <v>164</v>
      </c>
      <c r="G8" s="381"/>
      <c r="H8" s="382"/>
      <c r="I8" s="382"/>
      <c r="J8" s="382"/>
      <c r="K8" s="382"/>
      <c r="L8" s="382"/>
      <c r="M8" s="382"/>
      <c r="N8" s="382">
        <v>13000000</v>
      </c>
      <c r="O8" s="383">
        <f>N8/204</f>
        <v>63725.490196078434</v>
      </c>
      <c r="P8" s="382">
        <v>100000</v>
      </c>
      <c r="Q8" s="384">
        <v>500000</v>
      </c>
      <c r="R8" s="384">
        <v>1000000</v>
      </c>
      <c r="S8" s="384">
        <v>8800000</v>
      </c>
      <c r="T8" s="384">
        <v>15000</v>
      </c>
      <c r="U8" s="384"/>
      <c r="V8" s="384">
        <v>25000</v>
      </c>
      <c r="W8" s="385">
        <f>IF(Y8="",0,(N8*21.5%))</f>
        <v>2795000</v>
      </c>
      <c r="X8" s="386">
        <f>IF(Y8="",0,(N8*10.5%))</f>
        <v>1365000</v>
      </c>
      <c r="Y8" s="387" t="s">
        <v>105</v>
      </c>
      <c r="Z8" s="388"/>
      <c r="AA8" s="388">
        <f>N8+Q8+S8+(T8*26)+(V8*26)</f>
        <v>23340000</v>
      </c>
      <c r="AB8" s="389">
        <f>O8*8</f>
        <v>509803.92156862747</v>
      </c>
    </row>
    <row r="9" spans="1:28" ht="22.5" customHeight="1">
      <c r="A9" s="377">
        <v>2</v>
      </c>
      <c r="B9" s="366">
        <v>20122900</v>
      </c>
      <c r="C9" s="390" t="s">
        <v>39</v>
      </c>
      <c r="D9" s="365">
        <f t="shared" ref="D9:D72" si="0">B9</f>
        <v>20122900</v>
      </c>
      <c r="E9" s="377" t="s">
        <v>290</v>
      </c>
      <c r="F9" s="380" t="s">
        <v>256</v>
      </c>
      <c r="G9" s="391"/>
      <c r="H9" s="377"/>
      <c r="I9" s="377"/>
      <c r="J9" s="377">
        <v>10000</v>
      </c>
      <c r="K9" s="377">
        <v>200000</v>
      </c>
      <c r="L9" s="377">
        <v>300000</v>
      </c>
      <c r="M9" s="377">
        <v>40000</v>
      </c>
      <c r="N9" s="384">
        <v>8500000</v>
      </c>
      <c r="O9" s="383">
        <f>N9/204</f>
        <v>41666.666666666664</v>
      </c>
      <c r="P9" s="382">
        <f>O9*1.5</f>
        <v>62500</v>
      </c>
      <c r="Q9" s="384">
        <v>500000</v>
      </c>
      <c r="R9" s="384">
        <v>1000000</v>
      </c>
      <c r="S9" s="384">
        <v>3100000</v>
      </c>
      <c r="T9" s="384">
        <v>15000</v>
      </c>
      <c r="U9" s="384">
        <v>50000</v>
      </c>
      <c r="V9" s="384">
        <v>25000</v>
      </c>
      <c r="W9" s="385">
        <f>IF(Y9="",0,(N9*21.5%))</f>
        <v>1827500</v>
      </c>
      <c r="X9" s="386">
        <f>IF(Y9="",0,(N9*10.5%))</f>
        <v>892500</v>
      </c>
      <c r="Y9" s="387" t="s">
        <v>105</v>
      </c>
      <c r="Z9" s="388"/>
      <c r="AA9" s="388">
        <f>N9+Q9+S9+(T9*26)+(V9*26)+500000</f>
        <v>13640000</v>
      </c>
      <c r="AB9" s="389">
        <f t="shared" ref="AB9:AB64" si="1">O9*8</f>
        <v>333333.33333333331</v>
      </c>
    </row>
    <row r="10" spans="1:28" ht="22.5" customHeight="1">
      <c r="A10" s="377">
        <v>3</v>
      </c>
      <c r="B10" s="366">
        <v>20020700</v>
      </c>
      <c r="C10" s="390" t="s">
        <v>35</v>
      </c>
      <c r="D10" s="365">
        <f t="shared" si="0"/>
        <v>20020700</v>
      </c>
      <c r="E10" s="377" t="s">
        <v>12</v>
      </c>
      <c r="F10" s="380" t="s">
        <v>165</v>
      </c>
      <c r="G10" s="391"/>
      <c r="H10" s="377"/>
      <c r="I10" s="377"/>
      <c r="J10" s="377"/>
      <c r="K10" s="377"/>
      <c r="L10" s="377"/>
      <c r="M10" s="377"/>
      <c r="N10" s="384">
        <v>8500000</v>
      </c>
      <c r="O10" s="383">
        <f t="shared" ref="O10:O17" si="2">N10/204</f>
        <v>41666.666666666664</v>
      </c>
      <c r="P10" s="382">
        <f t="shared" ref="P10:P73" si="3">O10*1.5</f>
        <v>62500</v>
      </c>
      <c r="Q10" s="384">
        <v>500000</v>
      </c>
      <c r="R10" s="384">
        <v>1000000</v>
      </c>
      <c r="S10" s="384">
        <v>2700000</v>
      </c>
      <c r="T10" s="384">
        <v>15000</v>
      </c>
      <c r="U10" s="384"/>
      <c r="V10" s="384">
        <v>25000</v>
      </c>
      <c r="W10" s="385">
        <f>IF(Y10="",0,(N10*21.5%))</f>
        <v>1827500</v>
      </c>
      <c r="X10" s="386">
        <f>IF(Y10="",0,(N10*10.5%))</f>
        <v>892500</v>
      </c>
      <c r="Y10" s="387" t="s">
        <v>105</v>
      </c>
      <c r="Z10" s="388"/>
      <c r="AA10" s="388">
        <f>N10+Q10+S10+(T10*26)+(V10*26)+500000</f>
        <v>13240000</v>
      </c>
      <c r="AB10" s="389">
        <f t="shared" si="1"/>
        <v>333333.33333333331</v>
      </c>
    </row>
    <row r="11" spans="1:28" ht="22.5" customHeight="1">
      <c r="A11" s="377">
        <v>4</v>
      </c>
      <c r="B11" s="366">
        <v>19010300</v>
      </c>
      <c r="C11" s="390" t="s">
        <v>19</v>
      </c>
      <c r="D11" s="365">
        <f t="shared" si="0"/>
        <v>19010300</v>
      </c>
      <c r="E11" s="377" t="s">
        <v>37</v>
      </c>
      <c r="F11" s="392" t="s">
        <v>170</v>
      </c>
      <c r="G11" s="391"/>
      <c r="H11" s="393"/>
      <c r="I11" s="393"/>
      <c r="J11" s="393"/>
      <c r="K11" s="393"/>
      <c r="L11" s="393"/>
      <c r="M11" s="394"/>
      <c r="N11" s="384">
        <v>8500000</v>
      </c>
      <c r="O11" s="383">
        <f t="shared" si="2"/>
        <v>41666.666666666664</v>
      </c>
      <c r="P11" s="382">
        <f t="shared" si="3"/>
        <v>62500</v>
      </c>
      <c r="Q11" s="395">
        <v>500000</v>
      </c>
      <c r="R11" s="395"/>
      <c r="S11" s="394">
        <v>3100000</v>
      </c>
      <c r="T11" s="394">
        <v>15000</v>
      </c>
      <c r="U11" s="384"/>
      <c r="V11" s="384">
        <v>25000</v>
      </c>
      <c r="W11" s="385">
        <f>IF(Y11="",0,(N11*21.5%))</f>
        <v>1827500</v>
      </c>
      <c r="X11" s="386">
        <f>IF(Y11="",0,(N11*10.5%))</f>
        <v>892500</v>
      </c>
      <c r="Y11" s="396" t="s">
        <v>105</v>
      </c>
      <c r="Z11" s="388"/>
      <c r="AA11" s="388">
        <f t="shared" ref="AA11:AA25" si="4">N11+Q11+S11+(T11*26)+(V11*26)</f>
        <v>13140000</v>
      </c>
      <c r="AB11" s="389">
        <f t="shared" si="1"/>
        <v>333333.33333333331</v>
      </c>
    </row>
    <row r="12" spans="1:28" ht="22.5" customHeight="1">
      <c r="A12" s="377">
        <v>5</v>
      </c>
      <c r="B12" s="366">
        <v>18010900</v>
      </c>
      <c r="C12" s="390" t="s">
        <v>4</v>
      </c>
      <c r="D12" s="365">
        <f t="shared" si="0"/>
        <v>18010900</v>
      </c>
      <c r="E12" s="377" t="s">
        <v>13</v>
      </c>
      <c r="F12" s="397" t="s">
        <v>166</v>
      </c>
      <c r="G12" s="391"/>
      <c r="H12" s="377"/>
      <c r="I12" s="377"/>
      <c r="J12" s="377"/>
      <c r="K12" s="377"/>
      <c r="L12" s="377"/>
      <c r="M12" s="377"/>
      <c r="N12" s="384">
        <v>10000000</v>
      </c>
      <c r="O12" s="383">
        <f t="shared" si="2"/>
        <v>49019.607843137252</v>
      </c>
      <c r="P12" s="382">
        <f t="shared" si="3"/>
        <v>73529.411764705874</v>
      </c>
      <c r="Q12" s="384">
        <v>500000</v>
      </c>
      <c r="R12" s="384"/>
      <c r="S12" s="384">
        <v>4600000</v>
      </c>
      <c r="T12" s="384">
        <v>15000</v>
      </c>
      <c r="U12" s="384"/>
      <c r="V12" s="384">
        <v>25000</v>
      </c>
      <c r="W12" s="385">
        <f t="shared" ref="W12:W63" si="5">IF(Y12="",0,(N12*21.5%))</f>
        <v>2150000</v>
      </c>
      <c r="X12" s="386">
        <f t="shared" ref="X12:X63" si="6">IF(Y12="",0,(N12*10.5%))</f>
        <v>1050000</v>
      </c>
      <c r="Y12" s="387" t="s">
        <v>105</v>
      </c>
      <c r="Z12" s="388"/>
      <c r="AA12" s="388">
        <f t="shared" si="4"/>
        <v>16140000</v>
      </c>
      <c r="AB12" s="389">
        <f t="shared" si="1"/>
        <v>392156.86274509801</v>
      </c>
    </row>
    <row r="13" spans="1:28" ht="22.5" customHeight="1">
      <c r="A13" s="377">
        <v>6</v>
      </c>
      <c r="B13" s="366">
        <v>19010400</v>
      </c>
      <c r="C13" s="390" t="s">
        <v>18</v>
      </c>
      <c r="D13" s="365">
        <f t="shared" si="0"/>
        <v>19010400</v>
      </c>
      <c r="E13" s="377" t="s">
        <v>279</v>
      </c>
      <c r="F13" s="392" t="s">
        <v>171</v>
      </c>
      <c r="G13" s="391"/>
      <c r="H13" s="377"/>
      <c r="I13" s="377"/>
      <c r="J13" s="377"/>
      <c r="K13" s="377"/>
      <c r="L13" s="377"/>
      <c r="M13" s="377"/>
      <c r="N13" s="384">
        <v>8500000</v>
      </c>
      <c r="O13" s="383">
        <f t="shared" si="2"/>
        <v>41666.666666666664</v>
      </c>
      <c r="P13" s="382">
        <f t="shared" si="3"/>
        <v>62500</v>
      </c>
      <c r="Q13" s="384">
        <v>500000</v>
      </c>
      <c r="R13" s="384"/>
      <c r="S13" s="384">
        <v>3100000</v>
      </c>
      <c r="T13" s="384">
        <v>15000</v>
      </c>
      <c r="U13" s="384"/>
      <c r="V13" s="384">
        <v>25000</v>
      </c>
      <c r="W13" s="385">
        <f t="shared" si="5"/>
        <v>1827500</v>
      </c>
      <c r="X13" s="386">
        <f t="shared" si="6"/>
        <v>892500</v>
      </c>
      <c r="Y13" s="387" t="s">
        <v>105</v>
      </c>
      <c r="AA13" s="388">
        <f t="shared" si="4"/>
        <v>13140000</v>
      </c>
      <c r="AB13" s="389">
        <f t="shared" si="1"/>
        <v>333333.33333333331</v>
      </c>
    </row>
    <row r="14" spans="1:28" ht="22.5" customHeight="1">
      <c r="A14" s="377">
        <v>7</v>
      </c>
      <c r="B14" s="366">
        <v>17030500</v>
      </c>
      <c r="C14" s="390" t="s">
        <v>1</v>
      </c>
      <c r="D14" s="365">
        <f t="shared" si="0"/>
        <v>17030500</v>
      </c>
      <c r="E14" s="377" t="s">
        <v>124</v>
      </c>
      <c r="F14" s="397" t="s">
        <v>168</v>
      </c>
      <c r="G14" s="391"/>
      <c r="H14" s="377"/>
      <c r="I14" s="377"/>
      <c r="J14" s="377"/>
      <c r="K14" s="377"/>
      <c r="L14" s="377"/>
      <c r="M14" s="377"/>
      <c r="N14" s="384">
        <v>8000000</v>
      </c>
      <c r="O14" s="383">
        <f t="shared" si="2"/>
        <v>39215.686274509804</v>
      </c>
      <c r="P14" s="382">
        <f t="shared" si="3"/>
        <v>58823.529411764706</v>
      </c>
      <c r="Q14" s="384">
        <v>500000</v>
      </c>
      <c r="R14" s="384"/>
      <c r="S14" s="384">
        <v>4600000</v>
      </c>
      <c r="T14" s="384">
        <v>15000</v>
      </c>
      <c r="U14" s="384"/>
      <c r="V14" s="384">
        <v>25000</v>
      </c>
      <c r="W14" s="385">
        <f t="shared" si="5"/>
        <v>1720000</v>
      </c>
      <c r="X14" s="386">
        <f t="shared" si="6"/>
        <v>840000</v>
      </c>
      <c r="Y14" s="387" t="s">
        <v>105</v>
      </c>
      <c r="AA14" s="388">
        <f t="shared" si="4"/>
        <v>14140000</v>
      </c>
      <c r="AB14" s="389">
        <f t="shared" si="1"/>
        <v>313725.49019607843</v>
      </c>
    </row>
    <row r="15" spans="1:28" ht="22.5" customHeight="1">
      <c r="A15" s="377">
        <v>8</v>
      </c>
      <c r="B15" s="366">
        <v>22042200</v>
      </c>
      <c r="C15" s="390" t="s">
        <v>43</v>
      </c>
      <c r="D15" s="365">
        <f t="shared" si="0"/>
        <v>22042200</v>
      </c>
      <c r="E15" s="377" t="s">
        <v>124</v>
      </c>
      <c r="F15" s="397" t="s">
        <v>169</v>
      </c>
      <c r="G15" s="391"/>
      <c r="H15" s="377"/>
      <c r="I15" s="377"/>
      <c r="J15" s="377"/>
      <c r="K15" s="377"/>
      <c r="L15" s="377"/>
      <c r="M15" s="377"/>
      <c r="N15" s="384">
        <v>7000000</v>
      </c>
      <c r="O15" s="383">
        <f t="shared" si="2"/>
        <v>34313.725490196077</v>
      </c>
      <c r="P15" s="382">
        <f t="shared" si="3"/>
        <v>51470.588235294112</v>
      </c>
      <c r="Q15" s="384">
        <v>500000</v>
      </c>
      <c r="R15" s="384"/>
      <c r="S15" s="384">
        <v>3500000</v>
      </c>
      <c r="T15" s="384">
        <v>15000</v>
      </c>
      <c r="U15" s="384"/>
      <c r="V15" s="384">
        <v>25000</v>
      </c>
      <c r="W15" s="385">
        <f t="shared" si="5"/>
        <v>1505000</v>
      </c>
      <c r="X15" s="386">
        <f t="shared" si="6"/>
        <v>735000</v>
      </c>
      <c r="Y15" s="387" t="s">
        <v>105</v>
      </c>
      <c r="AA15" s="388">
        <f t="shared" si="4"/>
        <v>12040000</v>
      </c>
      <c r="AB15" s="389">
        <f t="shared" si="1"/>
        <v>274509.80392156861</v>
      </c>
    </row>
    <row r="16" spans="1:28" ht="22.5" customHeight="1">
      <c r="A16" s="377">
        <v>9</v>
      </c>
      <c r="B16" s="366">
        <v>20102800</v>
      </c>
      <c r="C16" s="390" t="s">
        <v>40</v>
      </c>
      <c r="D16" s="365">
        <f t="shared" si="0"/>
        <v>20102800</v>
      </c>
      <c r="E16" s="377" t="s">
        <v>74</v>
      </c>
      <c r="F16" s="397" t="s">
        <v>175</v>
      </c>
      <c r="G16" s="391"/>
      <c r="H16" s="377"/>
      <c r="I16" s="377"/>
      <c r="J16" s="377"/>
      <c r="K16" s="377"/>
      <c r="L16" s="377"/>
      <c r="M16" s="366"/>
      <c r="N16" s="384">
        <v>9500000</v>
      </c>
      <c r="O16" s="383">
        <f t="shared" si="2"/>
        <v>46568.627450980392</v>
      </c>
      <c r="P16" s="382">
        <f t="shared" si="3"/>
        <v>69852.941176470587</v>
      </c>
      <c r="Q16" s="384">
        <v>500000</v>
      </c>
      <c r="R16" s="384"/>
      <c r="S16" s="384">
        <v>2200000</v>
      </c>
      <c r="T16" s="384">
        <v>15000</v>
      </c>
      <c r="U16" s="384"/>
      <c r="V16" s="384">
        <v>25000</v>
      </c>
      <c r="W16" s="385">
        <f t="shared" si="5"/>
        <v>2042500</v>
      </c>
      <c r="X16" s="386">
        <f t="shared" si="6"/>
        <v>997500</v>
      </c>
      <c r="Y16" s="396" t="s">
        <v>105</v>
      </c>
      <c r="AA16" s="388">
        <f t="shared" si="4"/>
        <v>13240000</v>
      </c>
      <c r="AB16" s="389">
        <f t="shared" si="1"/>
        <v>372549.01960784313</v>
      </c>
    </row>
    <row r="17" spans="1:28" ht="22.5" customHeight="1">
      <c r="A17" s="377">
        <v>10</v>
      </c>
      <c r="B17" s="398">
        <v>17031400</v>
      </c>
      <c r="C17" s="390" t="s">
        <v>173</v>
      </c>
      <c r="D17" s="365">
        <f t="shared" si="0"/>
        <v>17031400</v>
      </c>
      <c r="E17" s="377" t="s">
        <v>174</v>
      </c>
      <c r="F17" s="397" t="s">
        <v>283</v>
      </c>
      <c r="G17" s="391"/>
      <c r="H17" s="377"/>
      <c r="I17" s="377"/>
      <c r="J17" s="377"/>
      <c r="K17" s="377"/>
      <c r="L17" s="377"/>
      <c r="M17" s="377"/>
      <c r="N17" s="384">
        <v>8500000</v>
      </c>
      <c r="O17" s="383">
        <f t="shared" si="2"/>
        <v>41666.666666666664</v>
      </c>
      <c r="P17" s="382">
        <f t="shared" si="3"/>
        <v>62500</v>
      </c>
      <c r="Q17" s="384">
        <v>500000</v>
      </c>
      <c r="R17" s="384"/>
      <c r="S17" s="384">
        <v>2800000</v>
      </c>
      <c r="T17" s="384">
        <v>15000</v>
      </c>
      <c r="U17" s="384"/>
      <c r="V17" s="384">
        <v>25000</v>
      </c>
      <c r="W17" s="385">
        <f t="shared" si="5"/>
        <v>1827500</v>
      </c>
      <c r="X17" s="386">
        <f t="shared" si="6"/>
        <v>892500</v>
      </c>
      <c r="Y17" s="396" t="s">
        <v>105</v>
      </c>
      <c r="AA17" s="388">
        <f t="shared" si="4"/>
        <v>12840000</v>
      </c>
      <c r="AB17" s="389">
        <f t="shared" si="1"/>
        <v>333333.33333333331</v>
      </c>
    </row>
    <row r="18" spans="1:28" ht="22.5" customHeight="1">
      <c r="A18" s="377">
        <v>11</v>
      </c>
      <c r="B18" s="366">
        <v>20050400</v>
      </c>
      <c r="C18" s="390" t="s">
        <v>41</v>
      </c>
      <c r="D18" s="365">
        <f t="shared" si="0"/>
        <v>20050400</v>
      </c>
      <c r="E18" s="377" t="s">
        <v>13</v>
      </c>
      <c r="F18" s="397" t="s">
        <v>167</v>
      </c>
      <c r="G18" s="391"/>
      <c r="H18" s="377"/>
      <c r="I18" s="377"/>
      <c r="J18" s="377"/>
      <c r="K18" s="377"/>
      <c r="L18" s="377"/>
      <c r="M18" s="377"/>
      <c r="N18" s="384">
        <v>7500000</v>
      </c>
      <c r="O18" s="383">
        <f t="shared" ref="O18:O72" si="7">N18/208</f>
        <v>36057.692307692305</v>
      </c>
      <c r="P18" s="382">
        <f t="shared" si="3"/>
        <v>54086.538461538454</v>
      </c>
      <c r="Q18" s="384">
        <v>500000</v>
      </c>
      <c r="R18" s="384"/>
      <c r="S18" s="384">
        <v>1100000</v>
      </c>
      <c r="T18" s="384">
        <v>15000</v>
      </c>
      <c r="U18" s="384"/>
      <c r="V18" s="384">
        <v>25000</v>
      </c>
      <c r="W18" s="385">
        <f t="shared" si="5"/>
        <v>1612500</v>
      </c>
      <c r="X18" s="386">
        <f t="shared" si="6"/>
        <v>787500</v>
      </c>
      <c r="Y18" s="396" t="s">
        <v>105</v>
      </c>
      <c r="AA18" s="388">
        <f t="shared" si="4"/>
        <v>10140000</v>
      </c>
      <c r="AB18" s="389">
        <f t="shared" si="1"/>
        <v>288461.53846153844</v>
      </c>
    </row>
    <row r="19" spans="1:28" ht="22.5" customHeight="1">
      <c r="A19" s="377">
        <v>12</v>
      </c>
      <c r="B19" s="366">
        <v>24050201</v>
      </c>
      <c r="C19" s="396" t="s">
        <v>188</v>
      </c>
      <c r="D19" s="365">
        <f t="shared" si="0"/>
        <v>24050201</v>
      </c>
      <c r="E19" s="377" t="s">
        <v>13</v>
      </c>
      <c r="F19" s="397" t="s">
        <v>254</v>
      </c>
      <c r="G19" s="391"/>
      <c r="H19" s="377"/>
      <c r="I19" s="377"/>
      <c r="J19" s="377"/>
      <c r="K19" s="377"/>
      <c r="L19" s="377"/>
      <c r="M19" s="366"/>
      <c r="N19" s="395">
        <v>6000000</v>
      </c>
      <c r="O19" s="383">
        <f t="shared" si="7"/>
        <v>28846.153846153848</v>
      </c>
      <c r="P19" s="382">
        <f t="shared" si="3"/>
        <v>43269.230769230773</v>
      </c>
      <c r="Q19" s="384">
        <v>500000</v>
      </c>
      <c r="R19" s="384"/>
      <c r="S19" s="384">
        <v>1400000</v>
      </c>
      <c r="T19" s="384">
        <v>15000</v>
      </c>
      <c r="U19" s="384"/>
      <c r="V19" s="384">
        <v>25000</v>
      </c>
      <c r="W19" s="385">
        <f t="shared" si="5"/>
        <v>1290000</v>
      </c>
      <c r="X19" s="386">
        <f t="shared" si="6"/>
        <v>630000</v>
      </c>
      <c r="Y19" s="396" t="s">
        <v>105</v>
      </c>
      <c r="AA19" s="388">
        <f t="shared" si="4"/>
        <v>8940000</v>
      </c>
      <c r="AB19" s="389">
        <f t="shared" si="1"/>
        <v>230769.23076923078</v>
      </c>
    </row>
    <row r="20" spans="1:28" ht="22.5" customHeight="1">
      <c r="A20" s="377">
        <v>13</v>
      </c>
      <c r="B20" s="399">
        <v>16120600</v>
      </c>
      <c r="C20" s="396" t="s">
        <v>265</v>
      </c>
      <c r="D20" s="365">
        <f t="shared" si="0"/>
        <v>16120600</v>
      </c>
      <c r="E20" s="377" t="s">
        <v>124</v>
      </c>
      <c r="F20" s="400" t="s">
        <v>284</v>
      </c>
      <c r="G20" s="391"/>
      <c r="H20" s="377"/>
      <c r="I20" s="377"/>
      <c r="J20" s="377"/>
      <c r="K20" s="377"/>
      <c r="L20" s="377"/>
      <c r="M20" s="377"/>
      <c r="N20" s="384">
        <v>5700000</v>
      </c>
      <c r="O20" s="383">
        <f t="shared" si="7"/>
        <v>27403.846153846152</v>
      </c>
      <c r="P20" s="382">
        <f t="shared" si="3"/>
        <v>41105.769230769227</v>
      </c>
      <c r="Q20" s="384">
        <v>500000</v>
      </c>
      <c r="R20" s="384"/>
      <c r="S20" s="384">
        <v>1700000</v>
      </c>
      <c r="T20" s="384">
        <v>15000</v>
      </c>
      <c r="U20" s="384"/>
      <c r="V20" s="384">
        <v>25000</v>
      </c>
      <c r="W20" s="385">
        <f t="shared" si="5"/>
        <v>1225500</v>
      </c>
      <c r="X20" s="386">
        <f t="shared" si="6"/>
        <v>598500</v>
      </c>
      <c r="Y20" s="396" t="s">
        <v>105</v>
      </c>
      <c r="AA20" s="388">
        <f t="shared" si="4"/>
        <v>8940000</v>
      </c>
      <c r="AB20" s="389">
        <f t="shared" si="1"/>
        <v>219230.76923076922</v>
      </c>
    </row>
    <row r="21" spans="1:28" ht="22.5" customHeight="1">
      <c r="A21" s="377">
        <v>14</v>
      </c>
      <c r="B21" s="399">
        <v>24021900</v>
      </c>
      <c r="C21" s="396" t="s">
        <v>80</v>
      </c>
      <c r="D21" s="365">
        <f t="shared" si="0"/>
        <v>24021900</v>
      </c>
      <c r="E21" s="377" t="s">
        <v>12</v>
      </c>
      <c r="F21" s="397" t="s">
        <v>250</v>
      </c>
      <c r="G21" s="391"/>
      <c r="H21" s="377"/>
      <c r="I21" s="377"/>
      <c r="J21" s="377"/>
      <c r="K21" s="377"/>
      <c r="L21" s="377"/>
      <c r="M21" s="377"/>
      <c r="N21" s="384">
        <v>6000000</v>
      </c>
      <c r="O21" s="383">
        <f t="shared" si="7"/>
        <v>28846.153846153848</v>
      </c>
      <c r="P21" s="382">
        <f t="shared" si="3"/>
        <v>43269.230769230773</v>
      </c>
      <c r="Q21" s="384">
        <v>500000</v>
      </c>
      <c r="R21" s="384"/>
      <c r="S21" s="384">
        <v>1900000</v>
      </c>
      <c r="T21" s="384">
        <v>15000</v>
      </c>
      <c r="U21" s="384"/>
      <c r="V21" s="384">
        <v>25000</v>
      </c>
      <c r="W21" s="385">
        <f t="shared" si="5"/>
        <v>1290000</v>
      </c>
      <c r="X21" s="386">
        <f t="shared" si="6"/>
        <v>630000</v>
      </c>
      <c r="Y21" s="396" t="s">
        <v>105</v>
      </c>
      <c r="AA21" s="388">
        <f t="shared" si="4"/>
        <v>9440000</v>
      </c>
      <c r="AB21" s="389">
        <f t="shared" si="1"/>
        <v>230769.23076923078</v>
      </c>
    </row>
    <row r="22" spans="1:28" ht="22.5" customHeight="1">
      <c r="A22" s="377">
        <v>15</v>
      </c>
      <c r="B22" s="366">
        <v>22022200</v>
      </c>
      <c r="C22" s="366" t="s">
        <v>50</v>
      </c>
      <c r="D22" s="365">
        <f t="shared" si="0"/>
        <v>22022200</v>
      </c>
      <c r="E22" s="377" t="s">
        <v>12</v>
      </c>
      <c r="F22" s="380" t="s">
        <v>228</v>
      </c>
      <c r="G22" s="391"/>
      <c r="H22" s="377"/>
      <c r="I22" s="377"/>
      <c r="J22" s="377"/>
      <c r="K22" s="377"/>
      <c r="L22" s="377"/>
      <c r="M22" s="377"/>
      <c r="N22" s="384">
        <v>6100000</v>
      </c>
      <c r="O22" s="383">
        <f t="shared" si="7"/>
        <v>29326.923076923078</v>
      </c>
      <c r="P22" s="382">
        <f t="shared" si="3"/>
        <v>43990.384615384617</v>
      </c>
      <c r="Q22" s="384">
        <v>500000</v>
      </c>
      <c r="R22" s="384"/>
      <c r="S22" s="384">
        <v>1400000</v>
      </c>
      <c r="T22" s="384">
        <v>15000</v>
      </c>
      <c r="U22" s="384"/>
      <c r="V22" s="384">
        <v>25000</v>
      </c>
      <c r="W22" s="385">
        <f t="shared" si="5"/>
        <v>1311500</v>
      </c>
      <c r="X22" s="386">
        <f t="shared" si="6"/>
        <v>640500</v>
      </c>
      <c r="Y22" s="396" t="s">
        <v>105</v>
      </c>
      <c r="AA22" s="388">
        <f t="shared" si="4"/>
        <v>9040000</v>
      </c>
      <c r="AB22" s="389">
        <f t="shared" si="1"/>
        <v>234615.38461538462</v>
      </c>
    </row>
    <row r="23" spans="1:28" ht="22.5" customHeight="1">
      <c r="A23" s="377">
        <v>16</v>
      </c>
      <c r="B23" s="399">
        <v>24111800</v>
      </c>
      <c r="C23" s="396" t="s">
        <v>293</v>
      </c>
      <c r="D23" s="365">
        <f t="shared" si="0"/>
        <v>24111800</v>
      </c>
      <c r="E23" s="377" t="s">
        <v>74</v>
      </c>
      <c r="F23" s="380" t="s">
        <v>304</v>
      </c>
      <c r="G23" s="401"/>
      <c r="H23" s="377"/>
      <c r="I23" s="377"/>
      <c r="J23" s="377"/>
      <c r="K23" s="377"/>
      <c r="L23" s="377"/>
      <c r="M23" s="377"/>
      <c r="N23" s="384">
        <v>6000000</v>
      </c>
      <c r="O23" s="383">
        <f t="shared" si="7"/>
        <v>28846.153846153848</v>
      </c>
      <c r="P23" s="382">
        <f t="shared" si="3"/>
        <v>43269.230769230773</v>
      </c>
      <c r="Q23" s="402">
        <v>500000</v>
      </c>
      <c r="R23" s="403"/>
      <c r="S23" s="403">
        <v>1100000</v>
      </c>
      <c r="T23" s="384">
        <v>15000</v>
      </c>
      <c r="U23" s="384"/>
      <c r="V23" s="384">
        <v>25000</v>
      </c>
      <c r="W23" s="385">
        <f t="shared" si="5"/>
        <v>1290000</v>
      </c>
      <c r="X23" s="386">
        <f t="shared" si="6"/>
        <v>630000</v>
      </c>
      <c r="Y23" s="396" t="s">
        <v>105</v>
      </c>
      <c r="AA23" s="388">
        <f t="shared" si="4"/>
        <v>8640000</v>
      </c>
      <c r="AB23" s="389">
        <f t="shared" si="1"/>
        <v>230769.23076923078</v>
      </c>
    </row>
    <row r="24" spans="1:28" ht="22.5" customHeight="1">
      <c r="A24" s="377">
        <v>17</v>
      </c>
      <c r="B24" s="399">
        <v>24030400</v>
      </c>
      <c r="C24" s="396" t="s">
        <v>81</v>
      </c>
      <c r="D24" s="365">
        <f t="shared" si="0"/>
        <v>24030400</v>
      </c>
      <c r="E24" s="377" t="s">
        <v>279</v>
      </c>
      <c r="F24" s="404" t="s">
        <v>285</v>
      </c>
      <c r="G24" s="405"/>
      <c r="H24" s="377"/>
      <c r="I24" s="377"/>
      <c r="J24" s="377"/>
      <c r="K24" s="377"/>
      <c r="L24" s="377"/>
      <c r="M24" s="377"/>
      <c r="N24" s="402">
        <v>6200000</v>
      </c>
      <c r="O24" s="383">
        <f t="shared" si="7"/>
        <v>29807.692307692309</v>
      </c>
      <c r="P24" s="382">
        <f t="shared" si="3"/>
        <v>44711.538461538461</v>
      </c>
      <c r="Q24" s="403">
        <v>500000</v>
      </c>
      <c r="R24" s="403"/>
      <c r="S24" s="403">
        <v>500000</v>
      </c>
      <c r="T24" s="384">
        <v>15000</v>
      </c>
      <c r="U24" s="384"/>
      <c r="V24" s="384">
        <v>25000</v>
      </c>
      <c r="W24" s="385">
        <f t="shared" si="5"/>
        <v>1333000</v>
      </c>
      <c r="X24" s="386">
        <f t="shared" si="6"/>
        <v>651000</v>
      </c>
      <c r="Y24" s="396" t="s">
        <v>105</v>
      </c>
      <c r="AA24" s="388">
        <f t="shared" si="4"/>
        <v>8240000</v>
      </c>
      <c r="AB24" s="389">
        <f t="shared" si="1"/>
        <v>238461.53846153847</v>
      </c>
    </row>
    <row r="25" spans="1:28" ht="22.5" customHeight="1">
      <c r="A25" s="377">
        <v>18</v>
      </c>
      <c r="B25" s="366">
        <v>21120700</v>
      </c>
      <c r="C25" s="390" t="s">
        <v>49</v>
      </c>
      <c r="D25" s="365">
        <f t="shared" si="0"/>
        <v>21120700</v>
      </c>
      <c r="E25" s="377" t="s">
        <v>279</v>
      </c>
      <c r="F25" s="380" t="s">
        <v>172</v>
      </c>
      <c r="G25" s="405"/>
      <c r="H25" s="406"/>
      <c r="I25" s="406"/>
      <c r="J25" s="406"/>
      <c r="K25" s="406"/>
      <c r="L25" s="406"/>
      <c r="M25" s="406"/>
      <c r="N25" s="402">
        <v>6200000</v>
      </c>
      <c r="O25" s="383">
        <f t="shared" si="7"/>
        <v>29807.692307692309</v>
      </c>
      <c r="P25" s="382">
        <f t="shared" si="3"/>
        <v>44711.538461538461</v>
      </c>
      <c r="Q25" s="403">
        <v>500000</v>
      </c>
      <c r="R25" s="403"/>
      <c r="S25" s="403">
        <v>850000</v>
      </c>
      <c r="T25" s="384">
        <v>15000</v>
      </c>
      <c r="U25" s="384"/>
      <c r="V25" s="384">
        <v>25000</v>
      </c>
      <c r="W25" s="385">
        <f t="shared" si="5"/>
        <v>1333000</v>
      </c>
      <c r="X25" s="386">
        <f t="shared" si="6"/>
        <v>651000</v>
      </c>
      <c r="Y25" s="396" t="s">
        <v>105</v>
      </c>
      <c r="AA25" s="388">
        <f t="shared" si="4"/>
        <v>8590000</v>
      </c>
      <c r="AB25" s="389">
        <f t="shared" si="1"/>
        <v>238461.53846153847</v>
      </c>
    </row>
    <row r="26" spans="1:28" ht="22.5" customHeight="1">
      <c r="A26" s="377">
        <v>19</v>
      </c>
      <c r="B26" s="366">
        <v>20040800</v>
      </c>
      <c r="C26" s="390" t="s">
        <v>38</v>
      </c>
      <c r="D26" s="365">
        <f t="shared" si="0"/>
        <v>20040800</v>
      </c>
      <c r="E26" s="393" t="s">
        <v>42</v>
      </c>
      <c r="F26" s="380" t="s">
        <v>176</v>
      </c>
      <c r="G26" s="407"/>
      <c r="H26" s="393"/>
      <c r="I26" s="393"/>
      <c r="J26" s="393"/>
      <c r="K26" s="393"/>
      <c r="L26" s="393"/>
      <c r="M26" s="393"/>
      <c r="N26" s="403">
        <v>6500000</v>
      </c>
      <c r="O26" s="383">
        <f t="shared" si="7"/>
        <v>31250</v>
      </c>
      <c r="P26" s="382">
        <f t="shared" si="3"/>
        <v>46875</v>
      </c>
      <c r="Q26" s="403">
        <v>500000</v>
      </c>
      <c r="R26" s="403"/>
      <c r="S26" s="403">
        <v>700000</v>
      </c>
      <c r="T26" s="384">
        <v>15000</v>
      </c>
      <c r="U26" s="384"/>
      <c r="V26" s="384">
        <v>25000</v>
      </c>
      <c r="W26" s="385">
        <f t="shared" si="5"/>
        <v>1397500</v>
      </c>
      <c r="X26" s="386">
        <f t="shared" si="6"/>
        <v>682500</v>
      </c>
      <c r="Y26" s="396" t="s">
        <v>105</v>
      </c>
      <c r="AA26" s="388">
        <f>N26+Q26+S26+(T26*26)+(V26*26)+(26*P26)</f>
        <v>9958750</v>
      </c>
      <c r="AB26" s="389">
        <f t="shared" si="1"/>
        <v>250000</v>
      </c>
    </row>
    <row r="27" spans="1:28" ht="22.5" customHeight="1">
      <c r="A27" s="377">
        <v>20</v>
      </c>
      <c r="B27" s="366">
        <v>19010800</v>
      </c>
      <c r="C27" s="390" t="s">
        <v>22</v>
      </c>
      <c r="D27" s="365">
        <f t="shared" si="0"/>
        <v>19010800</v>
      </c>
      <c r="E27" s="377" t="s">
        <v>42</v>
      </c>
      <c r="F27" s="380" t="s">
        <v>177</v>
      </c>
      <c r="G27" s="408"/>
      <c r="H27" s="377"/>
      <c r="I27" s="377"/>
      <c r="J27" s="377"/>
      <c r="K27" s="377"/>
      <c r="L27" s="377"/>
      <c r="M27" s="377"/>
      <c r="N27" s="403">
        <v>6500000</v>
      </c>
      <c r="O27" s="383">
        <f t="shared" si="7"/>
        <v>31250</v>
      </c>
      <c r="P27" s="382">
        <f t="shared" si="3"/>
        <v>46875</v>
      </c>
      <c r="Q27" s="384">
        <v>500000</v>
      </c>
      <c r="R27" s="384"/>
      <c r="S27" s="384">
        <v>600000</v>
      </c>
      <c r="T27" s="384">
        <v>15000</v>
      </c>
      <c r="U27" s="384"/>
      <c r="V27" s="384">
        <v>25000</v>
      </c>
      <c r="W27" s="385">
        <f t="shared" si="5"/>
        <v>1397500</v>
      </c>
      <c r="X27" s="386">
        <f t="shared" si="6"/>
        <v>682500</v>
      </c>
      <c r="Y27" s="396" t="s">
        <v>105</v>
      </c>
      <c r="AA27" s="388">
        <f t="shared" ref="AA27:AA41" si="8">N27+Q27+S27+(T27*26)+(V27*26)+(26*P27)</f>
        <v>9858750</v>
      </c>
      <c r="AB27" s="389">
        <f t="shared" si="1"/>
        <v>250000</v>
      </c>
    </row>
    <row r="28" spans="1:28" ht="22.5" customHeight="1">
      <c r="A28" s="377">
        <v>21</v>
      </c>
      <c r="B28" s="366">
        <v>19020100</v>
      </c>
      <c r="C28" s="390" t="s">
        <v>23</v>
      </c>
      <c r="D28" s="365">
        <f t="shared" si="0"/>
        <v>19020100</v>
      </c>
      <c r="E28" s="377" t="s">
        <v>42</v>
      </c>
      <c r="F28" s="380" t="s">
        <v>178</v>
      </c>
      <c r="G28" s="401"/>
      <c r="H28" s="377"/>
      <c r="I28" s="377"/>
      <c r="J28" s="377"/>
      <c r="K28" s="377"/>
      <c r="L28" s="377"/>
      <c r="M28" s="377"/>
      <c r="N28" s="403">
        <v>6500000</v>
      </c>
      <c r="O28" s="383">
        <f t="shared" si="7"/>
        <v>31250</v>
      </c>
      <c r="P28" s="382">
        <f t="shared" si="3"/>
        <v>46875</v>
      </c>
      <c r="Q28" s="402">
        <v>500000</v>
      </c>
      <c r="R28" s="402"/>
      <c r="S28" s="384">
        <v>600000</v>
      </c>
      <c r="T28" s="384">
        <v>15000</v>
      </c>
      <c r="U28" s="384"/>
      <c r="V28" s="384">
        <v>25000</v>
      </c>
      <c r="W28" s="385">
        <f t="shared" si="5"/>
        <v>1397500</v>
      </c>
      <c r="X28" s="386">
        <f t="shared" si="6"/>
        <v>682500</v>
      </c>
      <c r="Y28" s="396" t="s">
        <v>105</v>
      </c>
      <c r="AA28" s="388">
        <f t="shared" si="8"/>
        <v>9858750</v>
      </c>
      <c r="AB28" s="389">
        <f t="shared" si="1"/>
        <v>250000</v>
      </c>
    </row>
    <row r="29" spans="1:28" ht="22.5" customHeight="1">
      <c r="A29" s="377">
        <v>22</v>
      </c>
      <c r="B29" s="366">
        <v>22011800</v>
      </c>
      <c r="C29" s="366" t="s">
        <v>51</v>
      </c>
      <c r="D29" s="365">
        <f t="shared" si="0"/>
        <v>22011800</v>
      </c>
      <c r="E29" s="377" t="s">
        <v>42</v>
      </c>
      <c r="F29" s="380" t="s">
        <v>179</v>
      </c>
      <c r="G29" s="409"/>
      <c r="H29" s="406"/>
      <c r="I29" s="406"/>
      <c r="J29" s="406"/>
      <c r="K29" s="406"/>
      <c r="L29" s="406"/>
      <c r="M29" s="406"/>
      <c r="N29" s="402">
        <v>6100000</v>
      </c>
      <c r="O29" s="383">
        <f t="shared" si="7"/>
        <v>29326.923076923078</v>
      </c>
      <c r="P29" s="382">
        <f t="shared" si="3"/>
        <v>43990.384615384617</v>
      </c>
      <c r="Q29" s="403">
        <v>500000</v>
      </c>
      <c r="R29" s="403"/>
      <c r="S29" s="403">
        <v>550000</v>
      </c>
      <c r="T29" s="384">
        <v>15000</v>
      </c>
      <c r="U29" s="384"/>
      <c r="V29" s="384">
        <v>25000</v>
      </c>
      <c r="W29" s="385">
        <f t="shared" si="5"/>
        <v>1311500</v>
      </c>
      <c r="X29" s="386">
        <f t="shared" si="6"/>
        <v>640500</v>
      </c>
      <c r="Y29" s="396" t="s">
        <v>105</v>
      </c>
      <c r="AA29" s="388">
        <f t="shared" si="8"/>
        <v>9333750</v>
      </c>
      <c r="AB29" s="389">
        <f t="shared" si="1"/>
        <v>234615.38461538462</v>
      </c>
    </row>
    <row r="30" spans="1:28" s="410" customFormat="1" ht="22.5" customHeight="1">
      <c r="A30" s="377">
        <v>23</v>
      </c>
      <c r="B30" s="366">
        <v>22050900</v>
      </c>
      <c r="C30" s="399" t="s">
        <v>54</v>
      </c>
      <c r="D30" s="365">
        <f t="shared" si="0"/>
        <v>22050900</v>
      </c>
      <c r="E30" s="377" t="s">
        <v>42</v>
      </c>
      <c r="F30" s="380" t="s">
        <v>181</v>
      </c>
      <c r="G30" s="405"/>
      <c r="H30" s="406"/>
      <c r="I30" s="406"/>
      <c r="J30" s="406"/>
      <c r="K30" s="406"/>
      <c r="L30" s="406"/>
      <c r="M30" s="406"/>
      <c r="N30" s="403">
        <v>6000000</v>
      </c>
      <c r="O30" s="383">
        <f t="shared" si="7"/>
        <v>28846.153846153848</v>
      </c>
      <c r="P30" s="382">
        <f t="shared" si="3"/>
        <v>43269.230769230773</v>
      </c>
      <c r="Q30" s="403">
        <v>500000</v>
      </c>
      <c r="R30" s="403"/>
      <c r="S30" s="403">
        <v>350000</v>
      </c>
      <c r="T30" s="384">
        <v>15000</v>
      </c>
      <c r="U30" s="384"/>
      <c r="V30" s="384">
        <v>25000</v>
      </c>
      <c r="W30" s="385">
        <f t="shared" si="5"/>
        <v>1290000</v>
      </c>
      <c r="X30" s="386">
        <f t="shared" si="6"/>
        <v>630000</v>
      </c>
      <c r="Y30" s="396" t="s">
        <v>105</v>
      </c>
      <c r="AA30" s="388">
        <f t="shared" si="8"/>
        <v>9015000</v>
      </c>
      <c r="AB30" s="389">
        <f t="shared" si="1"/>
        <v>230769.23076923078</v>
      </c>
    </row>
    <row r="31" spans="1:28" ht="22.5" customHeight="1">
      <c r="A31" s="377">
        <v>24</v>
      </c>
      <c r="B31" s="366">
        <v>22111800</v>
      </c>
      <c r="C31" s="396" t="s">
        <v>58</v>
      </c>
      <c r="D31" s="365">
        <f t="shared" si="0"/>
        <v>22111800</v>
      </c>
      <c r="E31" s="377" t="s">
        <v>42</v>
      </c>
      <c r="F31" s="380" t="s">
        <v>182</v>
      </c>
      <c r="G31" s="405"/>
      <c r="H31" s="406"/>
      <c r="I31" s="406"/>
      <c r="J31" s="406"/>
      <c r="K31" s="406"/>
      <c r="L31" s="406"/>
      <c r="M31" s="406"/>
      <c r="N31" s="403">
        <v>6000000</v>
      </c>
      <c r="O31" s="383">
        <f t="shared" si="7"/>
        <v>28846.153846153848</v>
      </c>
      <c r="P31" s="382">
        <f t="shared" si="3"/>
        <v>43269.230769230773</v>
      </c>
      <c r="Q31" s="403">
        <v>500000</v>
      </c>
      <c r="R31" s="403"/>
      <c r="S31" s="403">
        <v>250000</v>
      </c>
      <c r="T31" s="384">
        <v>15000</v>
      </c>
      <c r="U31" s="384"/>
      <c r="V31" s="384">
        <v>25000</v>
      </c>
      <c r="W31" s="385">
        <f t="shared" si="5"/>
        <v>1290000</v>
      </c>
      <c r="X31" s="386">
        <f t="shared" si="6"/>
        <v>630000</v>
      </c>
      <c r="Y31" s="396" t="s">
        <v>105</v>
      </c>
      <c r="AA31" s="388">
        <f t="shared" si="8"/>
        <v>8915000</v>
      </c>
      <c r="AB31" s="389">
        <f t="shared" si="1"/>
        <v>230769.23076923078</v>
      </c>
    </row>
    <row r="32" spans="1:28" ht="22.5" customHeight="1">
      <c r="A32" s="377">
        <v>25</v>
      </c>
      <c r="B32" s="399">
        <v>24100100</v>
      </c>
      <c r="C32" s="396" t="s">
        <v>271</v>
      </c>
      <c r="D32" s="365">
        <f t="shared" si="0"/>
        <v>24100100</v>
      </c>
      <c r="E32" s="377" t="s">
        <v>42</v>
      </c>
      <c r="F32" s="380" t="s">
        <v>305</v>
      </c>
      <c r="G32" s="407"/>
      <c r="H32" s="377"/>
      <c r="I32" s="377"/>
      <c r="J32" s="377"/>
      <c r="K32" s="377"/>
      <c r="L32" s="377"/>
      <c r="M32" s="377"/>
      <c r="N32" s="402">
        <v>5700000</v>
      </c>
      <c r="O32" s="383">
        <f t="shared" si="7"/>
        <v>27403.846153846152</v>
      </c>
      <c r="P32" s="382">
        <f t="shared" si="3"/>
        <v>41105.769230769227</v>
      </c>
      <c r="Q32" s="402">
        <v>500000</v>
      </c>
      <c r="R32" s="403"/>
      <c r="S32" s="403">
        <v>100000</v>
      </c>
      <c r="T32" s="384">
        <v>15000</v>
      </c>
      <c r="U32" s="384"/>
      <c r="V32" s="384">
        <v>25000</v>
      </c>
      <c r="W32" s="385">
        <f t="shared" si="5"/>
        <v>1225500</v>
      </c>
      <c r="X32" s="386">
        <f t="shared" si="6"/>
        <v>598500</v>
      </c>
      <c r="Y32" s="396" t="s">
        <v>105</v>
      </c>
      <c r="AA32" s="388">
        <f t="shared" si="8"/>
        <v>8408750</v>
      </c>
      <c r="AB32" s="389">
        <f t="shared" si="1"/>
        <v>219230.76923076922</v>
      </c>
    </row>
    <row r="33" spans="1:28" ht="22.5" customHeight="1">
      <c r="A33" s="377">
        <v>26</v>
      </c>
      <c r="B33" s="366">
        <v>22050901</v>
      </c>
      <c r="C33" s="366" t="s">
        <v>53</v>
      </c>
      <c r="D33" s="365">
        <f t="shared" si="0"/>
        <v>22050901</v>
      </c>
      <c r="E33" s="377" t="s">
        <v>42</v>
      </c>
      <c r="F33" s="380" t="s">
        <v>251</v>
      </c>
      <c r="G33" s="407"/>
      <c r="H33" s="377"/>
      <c r="I33" s="377"/>
      <c r="J33" s="377"/>
      <c r="K33" s="377"/>
      <c r="L33" s="377"/>
      <c r="M33" s="377"/>
      <c r="N33" s="402">
        <v>5700000</v>
      </c>
      <c r="O33" s="383">
        <f t="shared" si="7"/>
        <v>27403.846153846152</v>
      </c>
      <c r="P33" s="382">
        <f t="shared" si="3"/>
        <v>41105.769230769227</v>
      </c>
      <c r="Q33" s="402">
        <v>500000</v>
      </c>
      <c r="R33" s="403"/>
      <c r="S33" s="403">
        <v>350000</v>
      </c>
      <c r="T33" s="384">
        <v>15000</v>
      </c>
      <c r="U33" s="384"/>
      <c r="V33" s="384">
        <v>25000</v>
      </c>
      <c r="W33" s="385">
        <f t="shared" si="5"/>
        <v>1225500</v>
      </c>
      <c r="X33" s="386">
        <f t="shared" si="6"/>
        <v>598500</v>
      </c>
      <c r="Y33" s="396" t="s">
        <v>105</v>
      </c>
      <c r="AA33" s="388">
        <f>N33+Q33+S33+(T33*26)+(V33*26)+(26*P33)</f>
        <v>8658750</v>
      </c>
      <c r="AB33" s="389">
        <f t="shared" si="1"/>
        <v>219230.76923076922</v>
      </c>
    </row>
    <row r="34" spans="1:28" ht="22.5" customHeight="1">
      <c r="A34" s="377">
        <v>27</v>
      </c>
      <c r="B34" s="366">
        <v>22060900</v>
      </c>
      <c r="C34" s="399" t="s">
        <v>55</v>
      </c>
      <c r="D34" s="365">
        <f t="shared" si="0"/>
        <v>22060900</v>
      </c>
      <c r="E34" s="377" t="s">
        <v>42</v>
      </c>
      <c r="F34" s="380" t="s">
        <v>183</v>
      </c>
      <c r="G34" s="407"/>
      <c r="H34" s="377"/>
      <c r="I34" s="377"/>
      <c r="J34" s="377"/>
      <c r="K34" s="377"/>
      <c r="L34" s="377"/>
      <c r="M34" s="377"/>
      <c r="N34" s="402">
        <v>5800000</v>
      </c>
      <c r="O34" s="383">
        <f t="shared" si="7"/>
        <v>27884.615384615383</v>
      </c>
      <c r="P34" s="382">
        <f t="shared" si="3"/>
        <v>41826.923076923078</v>
      </c>
      <c r="Q34" s="402">
        <v>500000</v>
      </c>
      <c r="R34" s="403"/>
      <c r="S34" s="403">
        <v>350000</v>
      </c>
      <c r="T34" s="384">
        <v>15000</v>
      </c>
      <c r="U34" s="384"/>
      <c r="V34" s="384">
        <v>25000</v>
      </c>
      <c r="W34" s="385">
        <f t="shared" si="5"/>
        <v>1247000</v>
      </c>
      <c r="X34" s="386">
        <f t="shared" si="6"/>
        <v>609000</v>
      </c>
      <c r="Y34" s="396" t="s">
        <v>105</v>
      </c>
      <c r="AA34" s="388">
        <f t="shared" si="8"/>
        <v>8777500</v>
      </c>
      <c r="AB34" s="389">
        <f t="shared" si="1"/>
        <v>223076.92307692306</v>
      </c>
    </row>
    <row r="35" spans="1:28" ht="22.5" customHeight="1">
      <c r="A35" s="377">
        <v>28</v>
      </c>
      <c r="B35" s="366">
        <v>23031500</v>
      </c>
      <c r="C35" s="396" t="s">
        <v>59</v>
      </c>
      <c r="D35" s="365">
        <f t="shared" si="0"/>
        <v>23031500</v>
      </c>
      <c r="E35" s="377" t="s">
        <v>42</v>
      </c>
      <c r="F35" s="380" t="s">
        <v>252</v>
      </c>
      <c r="G35" s="411"/>
      <c r="H35" s="393"/>
      <c r="I35" s="393"/>
      <c r="J35" s="393"/>
      <c r="K35" s="393"/>
      <c r="L35" s="393"/>
      <c r="M35" s="393"/>
      <c r="N35" s="402">
        <v>5700000</v>
      </c>
      <c r="O35" s="383">
        <f t="shared" si="7"/>
        <v>27403.846153846152</v>
      </c>
      <c r="P35" s="382">
        <f t="shared" si="3"/>
        <v>41105.769230769227</v>
      </c>
      <c r="Q35" s="402">
        <v>500000</v>
      </c>
      <c r="R35" s="403"/>
      <c r="S35" s="403">
        <v>350000</v>
      </c>
      <c r="T35" s="384">
        <v>15000</v>
      </c>
      <c r="U35" s="384"/>
      <c r="V35" s="384">
        <v>25000</v>
      </c>
      <c r="W35" s="385">
        <f t="shared" si="5"/>
        <v>1225500</v>
      </c>
      <c r="X35" s="386">
        <f t="shared" si="6"/>
        <v>598500</v>
      </c>
      <c r="Y35" s="396" t="s">
        <v>105</v>
      </c>
      <c r="AA35" s="388">
        <f t="shared" si="8"/>
        <v>8658750</v>
      </c>
      <c r="AB35" s="389">
        <f t="shared" si="1"/>
        <v>219230.76923076922</v>
      </c>
    </row>
    <row r="36" spans="1:28" ht="22.5" customHeight="1">
      <c r="A36" s="377">
        <v>29</v>
      </c>
      <c r="B36" s="366">
        <v>23013100</v>
      </c>
      <c r="C36" s="396" t="s">
        <v>67</v>
      </c>
      <c r="D36" s="365">
        <f t="shared" si="0"/>
        <v>23013100</v>
      </c>
      <c r="E36" s="377" t="s">
        <v>42</v>
      </c>
      <c r="F36" s="380" t="s">
        <v>253</v>
      </c>
      <c r="G36" s="411"/>
      <c r="H36" s="394"/>
      <c r="I36" s="394"/>
      <c r="J36" s="394"/>
      <c r="K36" s="394"/>
      <c r="L36" s="394"/>
      <c r="M36" s="366"/>
      <c r="N36" s="402">
        <v>5700000</v>
      </c>
      <c r="O36" s="383">
        <f t="shared" si="7"/>
        <v>27403.846153846152</v>
      </c>
      <c r="P36" s="382">
        <f t="shared" si="3"/>
        <v>41105.769230769227</v>
      </c>
      <c r="Q36" s="402">
        <v>500000</v>
      </c>
      <c r="R36" s="403"/>
      <c r="S36" s="403">
        <v>350000</v>
      </c>
      <c r="T36" s="384">
        <v>15000</v>
      </c>
      <c r="U36" s="384"/>
      <c r="V36" s="384">
        <v>25000</v>
      </c>
      <c r="W36" s="385">
        <f t="shared" si="5"/>
        <v>1225500</v>
      </c>
      <c r="X36" s="386">
        <f t="shared" si="6"/>
        <v>598500</v>
      </c>
      <c r="Y36" s="396" t="s">
        <v>105</v>
      </c>
      <c r="AA36" s="388">
        <f t="shared" si="8"/>
        <v>8658750</v>
      </c>
      <c r="AB36" s="389">
        <f t="shared" si="1"/>
        <v>219230.76923076922</v>
      </c>
    </row>
    <row r="37" spans="1:28" s="412" customFormat="1" ht="22.5" customHeight="1">
      <c r="A37" s="377">
        <v>30</v>
      </c>
      <c r="B37" s="366">
        <v>23030100</v>
      </c>
      <c r="C37" s="396" t="s">
        <v>68</v>
      </c>
      <c r="D37" s="365">
        <f t="shared" si="0"/>
        <v>23030100</v>
      </c>
      <c r="E37" s="377" t="s">
        <v>321</v>
      </c>
      <c r="F37" s="380" t="s">
        <v>186</v>
      </c>
      <c r="G37" s="407"/>
      <c r="H37" s="394"/>
      <c r="I37" s="394"/>
      <c r="J37" s="394"/>
      <c r="K37" s="394"/>
      <c r="L37" s="394"/>
      <c r="M37" s="366"/>
      <c r="N37" s="395">
        <v>6000000</v>
      </c>
      <c r="O37" s="383">
        <f t="shared" si="7"/>
        <v>28846.153846153848</v>
      </c>
      <c r="P37" s="382">
        <f t="shared" si="3"/>
        <v>43269.230769230773</v>
      </c>
      <c r="Q37" s="402">
        <v>500000</v>
      </c>
      <c r="R37" s="403"/>
      <c r="S37" s="403">
        <v>250000</v>
      </c>
      <c r="T37" s="384">
        <v>15000</v>
      </c>
      <c r="U37" s="384"/>
      <c r="V37" s="384">
        <v>25000</v>
      </c>
      <c r="W37" s="385">
        <f t="shared" si="5"/>
        <v>1290000</v>
      </c>
      <c r="X37" s="386">
        <f t="shared" si="6"/>
        <v>630000</v>
      </c>
      <c r="Y37" s="396" t="s">
        <v>105</v>
      </c>
      <c r="AA37" s="388">
        <f t="shared" si="8"/>
        <v>8915000</v>
      </c>
      <c r="AB37" s="389">
        <f t="shared" si="1"/>
        <v>230769.23076923078</v>
      </c>
    </row>
    <row r="38" spans="1:28" ht="22.5" customHeight="1">
      <c r="A38" s="377">
        <v>31</v>
      </c>
      <c r="B38" s="366">
        <v>24080500</v>
      </c>
      <c r="C38" s="396" t="s">
        <v>232</v>
      </c>
      <c r="D38" s="365">
        <f t="shared" si="0"/>
        <v>24080500</v>
      </c>
      <c r="E38" s="377" t="s">
        <v>42</v>
      </c>
      <c r="F38" s="413" t="s">
        <v>268</v>
      </c>
      <c r="G38" s="407"/>
      <c r="H38" s="394"/>
      <c r="I38" s="394"/>
      <c r="J38" s="394"/>
      <c r="K38" s="394"/>
      <c r="L38" s="394"/>
      <c r="M38" s="366"/>
      <c r="N38" s="395">
        <v>5700000</v>
      </c>
      <c r="O38" s="383">
        <f t="shared" si="7"/>
        <v>27403.846153846152</v>
      </c>
      <c r="P38" s="382">
        <f t="shared" si="3"/>
        <v>41105.769230769227</v>
      </c>
      <c r="Q38" s="402">
        <v>500000</v>
      </c>
      <c r="R38" s="403"/>
      <c r="S38" s="403">
        <v>250000</v>
      </c>
      <c r="T38" s="384">
        <v>15000</v>
      </c>
      <c r="U38" s="384"/>
      <c r="V38" s="384">
        <v>25000</v>
      </c>
      <c r="W38" s="385">
        <f t="shared" si="5"/>
        <v>1225500</v>
      </c>
      <c r="X38" s="386">
        <f t="shared" si="6"/>
        <v>598500</v>
      </c>
      <c r="Y38" s="396" t="s">
        <v>105</v>
      </c>
      <c r="AA38" s="388">
        <f t="shared" si="8"/>
        <v>8558750</v>
      </c>
      <c r="AB38" s="389">
        <f t="shared" si="1"/>
        <v>219230.76923076922</v>
      </c>
    </row>
    <row r="39" spans="1:28" ht="22.5" customHeight="1">
      <c r="A39" s="377">
        <v>32</v>
      </c>
      <c r="B39" s="366">
        <v>23041700</v>
      </c>
      <c r="C39" s="396" t="s">
        <v>219</v>
      </c>
      <c r="D39" s="365">
        <f t="shared" si="0"/>
        <v>23041700</v>
      </c>
      <c r="E39" s="377" t="s">
        <v>42</v>
      </c>
      <c r="F39" s="380" t="s">
        <v>187</v>
      </c>
      <c r="G39" s="413"/>
      <c r="H39" s="393"/>
      <c r="I39" s="393"/>
      <c r="J39" s="393"/>
      <c r="K39" s="393"/>
      <c r="L39" s="393"/>
      <c r="M39" s="393"/>
      <c r="N39" s="395">
        <v>5900000</v>
      </c>
      <c r="O39" s="383">
        <f t="shared" si="7"/>
        <v>28365.384615384617</v>
      </c>
      <c r="P39" s="382">
        <f t="shared" si="3"/>
        <v>42548.076923076922</v>
      </c>
      <c r="Q39" s="402">
        <v>500000</v>
      </c>
      <c r="R39" s="403"/>
      <c r="S39" s="403">
        <v>250000</v>
      </c>
      <c r="T39" s="384">
        <v>15000</v>
      </c>
      <c r="U39" s="384"/>
      <c r="V39" s="384">
        <v>25000</v>
      </c>
      <c r="W39" s="385">
        <f t="shared" si="5"/>
        <v>1268500</v>
      </c>
      <c r="X39" s="386">
        <f t="shared" si="6"/>
        <v>619500</v>
      </c>
      <c r="Y39" s="396" t="s">
        <v>105</v>
      </c>
      <c r="AA39" s="388">
        <f>N39+Q39+S39+(T39*26)+(V39*26)+(26*P39)</f>
        <v>8796250</v>
      </c>
      <c r="AB39" s="389">
        <f t="shared" si="1"/>
        <v>226923.07692307694</v>
      </c>
    </row>
    <row r="40" spans="1:28" ht="22.5" customHeight="1">
      <c r="A40" s="377">
        <v>33</v>
      </c>
      <c r="B40" s="399">
        <v>25080800</v>
      </c>
      <c r="C40" s="396" t="s">
        <v>322</v>
      </c>
      <c r="D40" s="365">
        <f t="shared" si="0"/>
        <v>25080800</v>
      </c>
      <c r="E40" s="377" t="s">
        <v>13</v>
      </c>
      <c r="F40" s="414" t="s">
        <v>324</v>
      </c>
      <c r="G40" s="413"/>
      <c r="H40" s="394"/>
      <c r="I40" s="394"/>
      <c r="J40" s="395"/>
      <c r="K40" s="396"/>
      <c r="L40" s="396"/>
      <c r="M40" s="394"/>
      <c r="N40" s="395">
        <v>5500000</v>
      </c>
      <c r="O40" s="383">
        <f t="shared" si="7"/>
        <v>26442.307692307691</v>
      </c>
      <c r="P40" s="382">
        <f t="shared" si="3"/>
        <v>39663.461538461539</v>
      </c>
      <c r="Q40" s="395">
        <v>500000</v>
      </c>
      <c r="R40" s="395"/>
      <c r="S40" s="394">
        <v>100000</v>
      </c>
      <c r="T40" s="394">
        <v>15000</v>
      </c>
      <c r="U40" s="384"/>
      <c r="V40" s="384">
        <v>25000</v>
      </c>
      <c r="W40" s="385">
        <f t="shared" si="5"/>
        <v>1182500</v>
      </c>
      <c r="X40" s="386">
        <f t="shared" si="6"/>
        <v>577500</v>
      </c>
      <c r="Y40" s="396" t="s">
        <v>105</v>
      </c>
      <c r="AA40" s="388">
        <f t="shared" si="8"/>
        <v>8171250</v>
      </c>
      <c r="AB40" s="389"/>
    </row>
    <row r="41" spans="1:28" ht="22.5" customHeight="1">
      <c r="A41" s="377">
        <v>34</v>
      </c>
      <c r="B41" s="399">
        <v>24022100</v>
      </c>
      <c r="C41" s="415" t="s">
        <v>79</v>
      </c>
      <c r="D41" s="365">
        <f t="shared" si="0"/>
        <v>24022100</v>
      </c>
      <c r="E41" s="377" t="s">
        <v>42</v>
      </c>
      <c r="F41" s="416" t="s">
        <v>286</v>
      </c>
      <c r="G41" s="417"/>
      <c r="H41" s="393"/>
      <c r="I41" s="393"/>
      <c r="J41" s="393"/>
      <c r="K41" s="393"/>
      <c r="L41" s="393"/>
      <c r="M41" s="393"/>
      <c r="N41" s="402">
        <v>5700000</v>
      </c>
      <c r="O41" s="383">
        <f t="shared" si="7"/>
        <v>27403.846153846152</v>
      </c>
      <c r="P41" s="382">
        <f t="shared" si="3"/>
        <v>41105.769230769227</v>
      </c>
      <c r="Q41" s="402">
        <v>500000</v>
      </c>
      <c r="R41" s="403"/>
      <c r="S41" s="403">
        <v>250000</v>
      </c>
      <c r="T41" s="384">
        <v>15000</v>
      </c>
      <c r="U41" s="384"/>
      <c r="V41" s="384">
        <v>25000</v>
      </c>
      <c r="W41" s="385">
        <f t="shared" si="5"/>
        <v>1225500</v>
      </c>
      <c r="X41" s="386">
        <f t="shared" si="6"/>
        <v>598500</v>
      </c>
      <c r="Y41" s="396" t="s">
        <v>105</v>
      </c>
      <c r="AA41" s="388">
        <f t="shared" si="8"/>
        <v>8558750</v>
      </c>
      <c r="AB41" s="389">
        <f t="shared" si="1"/>
        <v>219230.76923076922</v>
      </c>
    </row>
    <row r="42" spans="1:28" ht="22.5" customHeight="1">
      <c r="A42" s="377">
        <v>35</v>
      </c>
      <c r="B42" s="399">
        <v>24061900</v>
      </c>
      <c r="C42" s="396" t="s">
        <v>226</v>
      </c>
      <c r="D42" s="365">
        <f t="shared" si="0"/>
        <v>24061900</v>
      </c>
      <c r="E42" s="377" t="s">
        <v>42</v>
      </c>
      <c r="F42" s="400" t="s">
        <v>287</v>
      </c>
      <c r="G42" s="407"/>
      <c r="H42" s="393"/>
      <c r="I42" s="393"/>
      <c r="J42" s="393"/>
      <c r="K42" s="393"/>
      <c r="L42" s="393"/>
      <c r="M42" s="393"/>
      <c r="N42" s="402">
        <v>5800000</v>
      </c>
      <c r="O42" s="383">
        <f t="shared" si="7"/>
        <v>27884.615384615383</v>
      </c>
      <c r="P42" s="382">
        <f t="shared" si="3"/>
        <v>41826.923076923078</v>
      </c>
      <c r="Q42" s="402">
        <v>500000</v>
      </c>
      <c r="R42" s="403"/>
      <c r="S42" s="403">
        <v>250000</v>
      </c>
      <c r="T42" s="384">
        <v>15000</v>
      </c>
      <c r="U42" s="384"/>
      <c r="V42" s="384">
        <v>25000</v>
      </c>
      <c r="W42" s="385">
        <f t="shared" si="5"/>
        <v>1247000</v>
      </c>
      <c r="X42" s="386">
        <f t="shared" si="6"/>
        <v>609000</v>
      </c>
      <c r="Y42" s="396" t="s">
        <v>105</v>
      </c>
      <c r="AA42" s="388">
        <f>N42+Q42+S42+(T42*26)+(V42*13)+(U42*13)+(26*P42)</f>
        <v>8352500</v>
      </c>
      <c r="AB42" s="389">
        <f t="shared" si="1"/>
        <v>223076.92307692306</v>
      </c>
    </row>
    <row r="43" spans="1:28" ht="22.5" customHeight="1">
      <c r="A43" s="377">
        <v>36</v>
      </c>
      <c r="B43" s="366">
        <v>23071800</v>
      </c>
      <c r="C43" s="396" t="s">
        <v>71</v>
      </c>
      <c r="D43" s="365">
        <f t="shared" si="0"/>
        <v>23071800</v>
      </c>
      <c r="E43" s="393" t="s">
        <v>21</v>
      </c>
      <c r="F43" s="380" t="s">
        <v>189</v>
      </c>
      <c r="G43" s="407"/>
      <c r="H43" s="393"/>
      <c r="I43" s="393"/>
      <c r="J43" s="393"/>
      <c r="K43" s="393"/>
      <c r="L43" s="393"/>
      <c r="M43" s="393"/>
      <c r="N43" s="402">
        <v>6100000</v>
      </c>
      <c r="O43" s="383">
        <f t="shared" si="7"/>
        <v>29326.923076923078</v>
      </c>
      <c r="P43" s="382">
        <f t="shared" si="3"/>
        <v>43990.384615384617</v>
      </c>
      <c r="Q43" s="402">
        <v>500000</v>
      </c>
      <c r="R43" s="403"/>
      <c r="S43" s="403">
        <v>750000</v>
      </c>
      <c r="T43" s="384">
        <v>15000</v>
      </c>
      <c r="U43" s="384">
        <v>80000</v>
      </c>
      <c r="V43" s="384">
        <v>25000</v>
      </c>
      <c r="W43" s="385">
        <f t="shared" si="5"/>
        <v>1311500</v>
      </c>
      <c r="X43" s="386">
        <f t="shared" si="6"/>
        <v>640500</v>
      </c>
      <c r="Y43" s="396" t="s">
        <v>105</v>
      </c>
      <c r="AA43" s="388">
        <f>N43+Q43+S43+(T43*26)+(V43*26)+(26*P43)</f>
        <v>9533750</v>
      </c>
      <c r="AB43" s="389">
        <f t="shared" si="1"/>
        <v>234615.38461538462</v>
      </c>
    </row>
    <row r="44" spans="1:28" ht="22.5" customHeight="1">
      <c r="A44" s="377">
        <v>37</v>
      </c>
      <c r="B44" s="366">
        <v>23082200</v>
      </c>
      <c r="C44" s="396" t="s">
        <v>331</v>
      </c>
      <c r="D44" s="365">
        <f t="shared" si="0"/>
        <v>23082200</v>
      </c>
      <c r="E44" s="393" t="s">
        <v>21</v>
      </c>
      <c r="F44" s="380" t="s">
        <v>190</v>
      </c>
      <c r="G44" s="391"/>
      <c r="H44" s="394"/>
      <c r="I44" s="393"/>
      <c r="J44" s="393"/>
      <c r="K44" s="393"/>
      <c r="L44" s="393"/>
      <c r="M44" s="393"/>
      <c r="N44" s="402">
        <v>6100000</v>
      </c>
      <c r="O44" s="383">
        <f t="shared" si="7"/>
        <v>29326.923076923078</v>
      </c>
      <c r="P44" s="382">
        <f t="shared" si="3"/>
        <v>43990.384615384617</v>
      </c>
      <c r="Q44" s="402">
        <v>500000</v>
      </c>
      <c r="R44" s="403"/>
      <c r="S44" s="403">
        <v>750000</v>
      </c>
      <c r="T44" s="384">
        <v>15000</v>
      </c>
      <c r="U44" s="384">
        <v>80000</v>
      </c>
      <c r="V44" s="384">
        <v>25000</v>
      </c>
      <c r="W44" s="385">
        <f t="shared" si="5"/>
        <v>1311500</v>
      </c>
      <c r="X44" s="386">
        <f t="shared" si="6"/>
        <v>640500</v>
      </c>
      <c r="Y44" s="396" t="s">
        <v>105</v>
      </c>
      <c r="AA44" s="388">
        <f t="shared" ref="AA44:AA63" si="9">N44+Q44+S44+(T44*26)+(V44*13)+(U44*13)+(26*P44)</f>
        <v>10248750</v>
      </c>
      <c r="AB44" s="389">
        <f t="shared" si="1"/>
        <v>234615.38461538462</v>
      </c>
    </row>
    <row r="45" spans="1:28" ht="22.5" customHeight="1">
      <c r="A45" s="377">
        <v>38</v>
      </c>
      <c r="B45" s="366">
        <v>23081500</v>
      </c>
      <c r="C45" s="396" t="s">
        <v>73</v>
      </c>
      <c r="D45" s="365">
        <f t="shared" si="0"/>
        <v>23081500</v>
      </c>
      <c r="E45" s="393" t="s">
        <v>21</v>
      </c>
      <c r="F45" s="414" t="s">
        <v>288</v>
      </c>
      <c r="G45" s="407"/>
      <c r="H45" s="393"/>
      <c r="I45" s="393"/>
      <c r="J45" s="393"/>
      <c r="K45" s="393"/>
      <c r="L45" s="393"/>
      <c r="M45" s="393"/>
      <c r="N45" s="402">
        <v>5700000</v>
      </c>
      <c r="O45" s="383">
        <f t="shared" si="7"/>
        <v>27403.846153846152</v>
      </c>
      <c r="P45" s="382">
        <f t="shared" si="3"/>
        <v>41105.769230769227</v>
      </c>
      <c r="Q45" s="402">
        <v>500000</v>
      </c>
      <c r="R45" s="403"/>
      <c r="S45" s="403">
        <v>200000</v>
      </c>
      <c r="T45" s="384">
        <v>15000</v>
      </c>
      <c r="U45" s="384">
        <v>80000</v>
      </c>
      <c r="V45" s="384">
        <v>25000</v>
      </c>
      <c r="W45" s="385">
        <f t="shared" si="5"/>
        <v>1225500</v>
      </c>
      <c r="X45" s="386">
        <f t="shared" si="6"/>
        <v>598500</v>
      </c>
      <c r="Y45" s="396" t="s">
        <v>105</v>
      </c>
      <c r="AA45" s="388">
        <f t="shared" si="9"/>
        <v>9223750</v>
      </c>
      <c r="AB45" s="389">
        <f t="shared" si="1"/>
        <v>219230.76923076922</v>
      </c>
    </row>
    <row r="46" spans="1:28" ht="22.5" customHeight="1">
      <c r="A46" s="377">
        <v>39</v>
      </c>
      <c r="B46" s="399">
        <v>24061301</v>
      </c>
      <c r="C46" s="396" t="s">
        <v>264</v>
      </c>
      <c r="D46" s="365">
        <f t="shared" si="0"/>
        <v>24061301</v>
      </c>
      <c r="E46" s="393" t="s">
        <v>21</v>
      </c>
      <c r="F46" s="380" t="s">
        <v>306</v>
      </c>
      <c r="G46" s="407"/>
      <c r="H46" s="393"/>
      <c r="I46" s="393"/>
      <c r="J46" s="393"/>
      <c r="K46" s="393"/>
      <c r="L46" s="393"/>
      <c r="M46" s="393"/>
      <c r="N46" s="402">
        <v>5700000</v>
      </c>
      <c r="O46" s="383">
        <f t="shared" si="7"/>
        <v>27403.846153846152</v>
      </c>
      <c r="P46" s="382">
        <f t="shared" si="3"/>
        <v>41105.769230769227</v>
      </c>
      <c r="Q46" s="402">
        <v>500000</v>
      </c>
      <c r="R46" s="403"/>
      <c r="S46" s="403">
        <v>700000</v>
      </c>
      <c r="T46" s="384">
        <v>15000</v>
      </c>
      <c r="U46" s="384">
        <v>80000</v>
      </c>
      <c r="V46" s="384">
        <v>25000</v>
      </c>
      <c r="W46" s="385">
        <f t="shared" si="5"/>
        <v>1225500</v>
      </c>
      <c r="X46" s="386">
        <f t="shared" si="6"/>
        <v>598500</v>
      </c>
      <c r="Y46" s="396" t="s">
        <v>105</v>
      </c>
      <c r="AA46" s="388">
        <f t="shared" si="9"/>
        <v>9723750</v>
      </c>
      <c r="AB46" s="389">
        <f t="shared" si="1"/>
        <v>219230.76923076922</v>
      </c>
    </row>
    <row r="47" spans="1:28" ht="22.5" customHeight="1">
      <c r="A47" s="377">
        <v>40</v>
      </c>
      <c r="B47" s="366">
        <v>22072300</v>
      </c>
      <c r="C47" s="396" t="s">
        <v>56</v>
      </c>
      <c r="D47" s="365">
        <f t="shared" si="0"/>
        <v>22072300</v>
      </c>
      <c r="E47" s="393" t="s">
        <v>21</v>
      </c>
      <c r="F47" s="380" t="s">
        <v>184</v>
      </c>
      <c r="G47" s="407"/>
      <c r="H47" s="393"/>
      <c r="I47" s="393"/>
      <c r="J47" s="393"/>
      <c r="K47" s="393"/>
      <c r="L47" s="393"/>
      <c r="M47" s="393"/>
      <c r="N47" s="402">
        <v>6100000</v>
      </c>
      <c r="O47" s="383">
        <f t="shared" si="7"/>
        <v>29326.923076923078</v>
      </c>
      <c r="P47" s="382">
        <f t="shared" si="3"/>
        <v>43990.384615384617</v>
      </c>
      <c r="Q47" s="402">
        <v>500000</v>
      </c>
      <c r="R47" s="403"/>
      <c r="S47" s="403">
        <v>800000</v>
      </c>
      <c r="T47" s="384">
        <v>15000</v>
      </c>
      <c r="U47" s="384">
        <v>80000</v>
      </c>
      <c r="V47" s="384">
        <v>25000</v>
      </c>
      <c r="W47" s="385">
        <f t="shared" si="5"/>
        <v>1311500</v>
      </c>
      <c r="X47" s="386">
        <f t="shared" si="6"/>
        <v>640500</v>
      </c>
      <c r="Y47" s="396" t="s">
        <v>105</v>
      </c>
      <c r="AA47" s="388">
        <f t="shared" si="9"/>
        <v>10298750</v>
      </c>
      <c r="AB47" s="389">
        <f t="shared" si="1"/>
        <v>234615.38461538462</v>
      </c>
    </row>
    <row r="48" spans="1:28" ht="22.5" customHeight="1">
      <c r="A48" s="377">
        <v>41</v>
      </c>
      <c r="B48" s="366">
        <v>22103100</v>
      </c>
      <c r="C48" s="396" t="s">
        <v>57</v>
      </c>
      <c r="D48" s="365">
        <f t="shared" si="0"/>
        <v>22103100</v>
      </c>
      <c r="E48" s="393" t="s">
        <v>21</v>
      </c>
      <c r="F48" s="380" t="s">
        <v>185</v>
      </c>
      <c r="G48" s="407"/>
      <c r="H48" s="393"/>
      <c r="I48" s="393"/>
      <c r="J48" s="393"/>
      <c r="K48" s="393"/>
      <c r="L48" s="393"/>
      <c r="M48" s="393"/>
      <c r="N48" s="395">
        <v>5900000</v>
      </c>
      <c r="O48" s="383">
        <f t="shared" si="7"/>
        <v>28365.384615384617</v>
      </c>
      <c r="P48" s="382">
        <f t="shared" si="3"/>
        <v>42548.076923076922</v>
      </c>
      <c r="Q48" s="402">
        <v>500000</v>
      </c>
      <c r="R48" s="403"/>
      <c r="S48" s="403">
        <v>350000</v>
      </c>
      <c r="T48" s="384">
        <v>15000</v>
      </c>
      <c r="U48" s="384">
        <v>80000</v>
      </c>
      <c r="V48" s="384">
        <v>25000</v>
      </c>
      <c r="W48" s="385">
        <f t="shared" si="5"/>
        <v>1268500</v>
      </c>
      <c r="X48" s="386">
        <f t="shared" si="6"/>
        <v>619500</v>
      </c>
      <c r="Y48" s="396" t="s">
        <v>105</v>
      </c>
      <c r="AA48" s="388">
        <f t="shared" si="9"/>
        <v>9611250</v>
      </c>
      <c r="AB48" s="389">
        <f t="shared" si="1"/>
        <v>226923.07692307694</v>
      </c>
    </row>
    <row r="49" spans="1:28" ht="22.5" customHeight="1">
      <c r="A49" s="377">
        <v>42</v>
      </c>
      <c r="B49" s="398">
        <v>25062300</v>
      </c>
      <c r="C49" s="390" t="s">
        <v>319</v>
      </c>
      <c r="D49" s="365">
        <f t="shared" si="0"/>
        <v>25062300</v>
      </c>
      <c r="E49" s="377" t="s">
        <v>42</v>
      </c>
      <c r="F49" s="400" t="s">
        <v>320</v>
      </c>
      <c r="G49" s="413"/>
      <c r="H49" s="394"/>
      <c r="I49" s="394"/>
      <c r="J49" s="395"/>
      <c r="K49" s="396"/>
      <c r="L49" s="396"/>
      <c r="M49" s="394"/>
      <c r="N49" s="395">
        <v>5310000</v>
      </c>
      <c r="O49" s="383">
        <f t="shared" si="7"/>
        <v>25528.846153846152</v>
      </c>
      <c r="P49" s="382">
        <f t="shared" si="3"/>
        <v>38293.269230769227</v>
      </c>
      <c r="Q49" s="395">
        <v>500000</v>
      </c>
      <c r="R49" s="395"/>
      <c r="S49" s="384">
        <v>50000</v>
      </c>
      <c r="T49" s="394">
        <v>15000</v>
      </c>
      <c r="U49" s="395"/>
      <c r="V49" s="395">
        <v>25000</v>
      </c>
      <c r="W49" s="385">
        <f t="shared" si="5"/>
        <v>1141650</v>
      </c>
      <c r="X49" s="386">
        <f t="shared" si="6"/>
        <v>557550</v>
      </c>
      <c r="Y49" s="396" t="s">
        <v>105</v>
      </c>
      <c r="AA49" s="388">
        <f t="shared" si="9"/>
        <v>7570625</v>
      </c>
      <c r="AB49" s="389">
        <f t="shared" si="1"/>
        <v>204230.76923076922</v>
      </c>
    </row>
    <row r="50" spans="1:28" ht="22.5" customHeight="1">
      <c r="A50" s="377">
        <v>43</v>
      </c>
      <c r="B50" s="399">
        <v>24090700</v>
      </c>
      <c r="C50" s="396" t="s">
        <v>267</v>
      </c>
      <c r="D50" s="365">
        <f t="shared" si="0"/>
        <v>24090700</v>
      </c>
      <c r="E50" s="393" t="s">
        <v>21</v>
      </c>
      <c r="F50" s="418" t="s">
        <v>308</v>
      </c>
      <c r="G50" s="407"/>
      <c r="H50" s="393"/>
      <c r="I50" s="393"/>
      <c r="J50" s="393"/>
      <c r="K50" s="393"/>
      <c r="L50" s="393"/>
      <c r="M50" s="393"/>
      <c r="N50" s="402">
        <v>5500000</v>
      </c>
      <c r="O50" s="383">
        <f t="shared" si="7"/>
        <v>26442.307692307691</v>
      </c>
      <c r="P50" s="382">
        <f t="shared" si="3"/>
        <v>39663.461538461539</v>
      </c>
      <c r="Q50" s="395">
        <v>500000</v>
      </c>
      <c r="R50" s="441"/>
      <c r="S50" s="403">
        <v>260000</v>
      </c>
      <c r="T50" s="394">
        <v>15000</v>
      </c>
      <c r="U50" s="384">
        <v>80000</v>
      </c>
      <c r="V50" s="384">
        <v>25000</v>
      </c>
      <c r="W50" s="385">
        <f t="shared" si="5"/>
        <v>1182500</v>
      </c>
      <c r="X50" s="386">
        <f t="shared" si="6"/>
        <v>577500</v>
      </c>
      <c r="Y50" s="396" t="s">
        <v>105</v>
      </c>
      <c r="AA50" s="388">
        <f t="shared" si="9"/>
        <v>9046250</v>
      </c>
      <c r="AB50" s="389">
        <f t="shared" si="1"/>
        <v>211538.46153846153</v>
      </c>
    </row>
    <row r="51" spans="1:28" ht="22.5" customHeight="1">
      <c r="A51" s="377">
        <v>44</v>
      </c>
      <c r="B51" s="366">
        <v>23061400</v>
      </c>
      <c r="C51" s="390" t="s">
        <v>72</v>
      </c>
      <c r="D51" s="365">
        <f t="shared" si="0"/>
        <v>23061400</v>
      </c>
      <c r="E51" s="393" t="s">
        <v>21</v>
      </c>
      <c r="F51" s="396" t="s">
        <v>270</v>
      </c>
      <c r="G51" s="419"/>
      <c r="H51" s="393"/>
      <c r="I51" s="393"/>
      <c r="J51" s="393"/>
      <c r="K51" s="393"/>
      <c r="L51" s="393"/>
      <c r="M51" s="393"/>
      <c r="N51" s="402">
        <v>5500000</v>
      </c>
      <c r="O51" s="383">
        <f t="shared" si="7"/>
        <v>26442.307692307691</v>
      </c>
      <c r="P51" s="382">
        <f t="shared" si="3"/>
        <v>39663.461538461539</v>
      </c>
      <c r="Q51" s="395">
        <v>500000</v>
      </c>
      <c r="R51" s="441"/>
      <c r="S51" s="403">
        <v>250000</v>
      </c>
      <c r="T51" s="394">
        <v>15000</v>
      </c>
      <c r="U51" s="384">
        <v>80000</v>
      </c>
      <c r="V51" s="384">
        <v>25000</v>
      </c>
      <c r="W51" s="385">
        <f t="shared" si="5"/>
        <v>1182500</v>
      </c>
      <c r="X51" s="386">
        <f t="shared" si="6"/>
        <v>577500</v>
      </c>
      <c r="Y51" s="396" t="s">
        <v>105</v>
      </c>
      <c r="AA51" s="388">
        <f t="shared" si="9"/>
        <v>9036250</v>
      </c>
      <c r="AB51" s="420"/>
    </row>
    <row r="52" spans="1:28" ht="22.5" customHeight="1">
      <c r="A52" s="377">
        <v>45</v>
      </c>
      <c r="B52" s="399">
        <v>24051300</v>
      </c>
      <c r="C52" s="396" t="s">
        <v>220</v>
      </c>
      <c r="D52" s="365">
        <f t="shared" si="0"/>
        <v>24051300</v>
      </c>
      <c r="E52" s="393" t="s">
        <v>21</v>
      </c>
      <c r="F52" s="400" t="s">
        <v>291</v>
      </c>
      <c r="G52" s="419"/>
      <c r="H52" s="393"/>
      <c r="I52" s="393"/>
      <c r="J52" s="393"/>
      <c r="K52" s="393"/>
      <c r="L52" s="393"/>
      <c r="M52" s="393"/>
      <c r="N52" s="395">
        <v>5700000</v>
      </c>
      <c r="O52" s="383">
        <f t="shared" si="7"/>
        <v>27403.846153846152</v>
      </c>
      <c r="P52" s="382">
        <f t="shared" si="3"/>
        <v>41105.769230769227</v>
      </c>
      <c r="Q52" s="395">
        <v>500000</v>
      </c>
      <c r="R52" s="395"/>
      <c r="S52" s="394">
        <v>100000</v>
      </c>
      <c r="T52" s="394">
        <v>15000</v>
      </c>
      <c r="U52" s="384">
        <v>80000</v>
      </c>
      <c r="V52" s="384">
        <v>25000</v>
      </c>
      <c r="W52" s="385">
        <f t="shared" si="5"/>
        <v>1225500</v>
      </c>
      <c r="X52" s="386">
        <f t="shared" si="6"/>
        <v>598500</v>
      </c>
      <c r="Y52" s="396" t="s">
        <v>105</v>
      </c>
      <c r="AA52" s="388">
        <f t="shared" si="9"/>
        <v>9123750</v>
      </c>
      <c r="AB52" s="389">
        <f t="shared" si="1"/>
        <v>219230.76923076922</v>
      </c>
    </row>
    <row r="53" spans="1:28" ht="22.5" customHeight="1">
      <c r="A53" s="377">
        <v>46</v>
      </c>
      <c r="B53" s="399">
        <v>24030300</v>
      </c>
      <c r="C53" s="396" t="s">
        <v>82</v>
      </c>
      <c r="D53" s="365">
        <f t="shared" si="0"/>
        <v>24030300</v>
      </c>
      <c r="E53" s="393" t="s">
        <v>21</v>
      </c>
      <c r="F53" s="408" t="s">
        <v>292</v>
      </c>
      <c r="G53" s="408"/>
      <c r="H53" s="393"/>
      <c r="I53" s="393"/>
      <c r="J53" s="393"/>
      <c r="K53" s="393"/>
      <c r="L53" s="393"/>
      <c r="M53" s="394"/>
      <c r="N53" s="395">
        <v>5700000</v>
      </c>
      <c r="O53" s="383">
        <f t="shared" si="7"/>
        <v>27403.846153846152</v>
      </c>
      <c r="P53" s="382">
        <f t="shared" si="3"/>
        <v>41105.769230769227</v>
      </c>
      <c r="Q53" s="395">
        <v>500000</v>
      </c>
      <c r="R53" s="395"/>
      <c r="S53" s="394">
        <v>150000</v>
      </c>
      <c r="T53" s="394">
        <v>15000</v>
      </c>
      <c r="U53" s="384">
        <v>80000</v>
      </c>
      <c r="V53" s="384">
        <v>25000</v>
      </c>
      <c r="W53" s="385">
        <f t="shared" si="5"/>
        <v>1225500</v>
      </c>
      <c r="X53" s="386">
        <f t="shared" si="6"/>
        <v>598500</v>
      </c>
      <c r="Y53" s="396" t="s">
        <v>105</v>
      </c>
      <c r="AA53" s="388">
        <f t="shared" si="9"/>
        <v>9173750</v>
      </c>
      <c r="AB53" s="389">
        <f t="shared" si="1"/>
        <v>219230.76923076922</v>
      </c>
    </row>
    <row r="54" spans="1:28" ht="22.5" customHeight="1">
      <c r="A54" s="377">
        <v>47</v>
      </c>
      <c r="B54" s="398">
        <v>17010101</v>
      </c>
      <c r="C54" s="390" t="s">
        <v>294</v>
      </c>
      <c r="D54" s="365">
        <f t="shared" si="0"/>
        <v>17010101</v>
      </c>
      <c r="E54" s="377" t="s">
        <v>300</v>
      </c>
      <c r="F54" s="393" t="s">
        <v>297</v>
      </c>
      <c r="G54" s="408"/>
      <c r="H54" s="394"/>
      <c r="I54" s="394"/>
      <c r="J54" s="395"/>
      <c r="K54" s="395">
        <f>J54/208</f>
        <v>0</v>
      </c>
      <c r="L54" s="395">
        <f>K54*1.5</f>
        <v>0</v>
      </c>
      <c r="M54" s="394"/>
      <c r="N54" s="384">
        <v>6900000</v>
      </c>
      <c r="O54" s="383">
        <f t="shared" si="7"/>
        <v>33173.076923076922</v>
      </c>
      <c r="P54" s="382">
        <f t="shared" si="3"/>
        <v>49759.615384615383</v>
      </c>
      <c r="Q54" s="395">
        <v>500000</v>
      </c>
      <c r="R54" s="395"/>
      <c r="S54" s="394">
        <v>2100000</v>
      </c>
      <c r="T54" s="394">
        <v>15000</v>
      </c>
      <c r="U54" s="384">
        <v>80000</v>
      </c>
      <c r="V54" s="384">
        <v>25000</v>
      </c>
      <c r="W54" s="385">
        <f t="shared" si="5"/>
        <v>1483500</v>
      </c>
      <c r="X54" s="386">
        <f t="shared" si="6"/>
        <v>724500</v>
      </c>
      <c r="Y54" s="396" t="s">
        <v>105</v>
      </c>
      <c r="AA54" s="388">
        <f t="shared" si="9"/>
        <v>12548750</v>
      </c>
      <c r="AB54" s="389">
        <f t="shared" si="1"/>
        <v>265384.61538461538</v>
      </c>
    </row>
    <row r="55" spans="1:28" ht="22.5" customHeight="1">
      <c r="A55" s="377">
        <v>48</v>
      </c>
      <c r="B55" s="398">
        <v>22031100</v>
      </c>
      <c r="C55" s="390" t="s">
        <v>295</v>
      </c>
      <c r="D55" s="365">
        <f t="shared" si="0"/>
        <v>22031100</v>
      </c>
      <c r="E55" s="377" t="s">
        <v>300</v>
      </c>
      <c r="F55" s="377" t="s">
        <v>298</v>
      </c>
      <c r="G55" s="408"/>
      <c r="H55" s="394"/>
      <c r="I55" s="393"/>
      <c r="J55" s="393"/>
      <c r="K55" s="394">
        <v>0</v>
      </c>
      <c r="L55" s="394">
        <v>0</v>
      </c>
      <c r="M55" s="393"/>
      <c r="N55" s="384">
        <v>6300000</v>
      </c>
      <c r="O55" s="383">
        <f t="shared" si="7"/>
        <v>30288.461538461539</v>
      </c>
      <c r="P55" s="382">
        <f t="shared" si="3"/>
        <v>45432.692307692312</v>
      </c>
      <c r="Q55" s="395">
        <v>500000</v>
      </c>
      <c r="R55" s="395"/>
      <c r="S55" s="394">
        <v>750000</v>
      </c>
      <c r="T55" s="394">
        <v>15000</v>
      </c>
      <c r="U55" s="384">
        <v>80000</v>
      </c>
      <c r="V55" s="384">
        <v>25000</v>
      </c>
      <c r="W55" s="385">
        <f t="shared" si="5"/>
        <v>1354500</v>
      </c>
      <c r="X55" s="386">
        <f t="shared" si="6"/>
        <v>661500</v>
      </c>
      <c r="Y55" s="396" t="s">
        <v>105</v>
      </c>
      <c r="AA55" s="388">
        <f t="shared" si="9"/>
        <v>10486250</v>
      </c>
      <c r="AB55" s="389">
        <f t="shared" si="1"/>
        <v>242307.69230769231</v>
      </c>
    </row>
    <row r="56" spans="1:28" ht="22.5" customHeight="1">
      <c r="A56" s="377">
        <v>49</v>
      </c>
      <c r="B56" s="398">
        <v>22091400</v>
      </c>
      <c r="C56" s="366" t="s">
        <v>296</v>
      </c>
      <c r="D56" s="365">
        <f t="shared" si="0"/>
        <v>22091400</v>
      </c>
      <c r="E56" s="377" t="s">
        <v>21</v>
      </c>
      <c r="F56" s="377" t="s">
        <v>299</v>
      </c>
      <c r="G56" s="408"/>
      <c r="H56" s="393"/>
      <c r="I56" s="393"/>
      <c r="J56" s="394"/>
      <c r="K56" s="394"/>
      <c r="L56" s="394"/>
      <c r="M56" s="394"/>
      <c r="N56" s="384">
        <v>5900000</v>
      </c>
      <c r="O56" s="383">
        <f t="shared" si="7"/>
        <v>28365.384615384617</v>
      </c>
      <c r="P56" s="382">
        <f t="shared" si="3"/>
        <v>42548.076923076922</v>
      </c>
      <c r="Q56" s="395">
        <v>500000</v>
      </c>
      <c r="R56" s="395"/>
      <c r="S56" s="384">
        <v>200000</v>
      </c>
      <c r="T56" s="394">
        <v>15000</v>
      </c>
      <c r="U56" s="384">
        <v>80000</v>
      </c>
      <c r="V56" s="384">
        <v>25000</v>
      </c>
      <c r="W56" s="385">
        <f t="shared" si="5"/>
        <v>1268500</v>
      </c>
      <c r="X56" s="386">
        <f t="shared" si="6"/>
        <v>619500</v>
      </c>
      <c r="Y56" s="396" t="s">
        <v>105</v>
      </c>
      <c r="AA56" s="388">
        <f t="shared" si="9"/>
        <v>9461250</v>
      </c>
      <c r="AB56" s="389">
        <f t="shared" si="1"/>
        <v>226923.07692307694</v>
      </c>
    </row>
    <row r="57" spans="1:28" ht="22.5" customHeight="1">
      <c r="A57" s="377">
        <v>50</v>
      </c>
      <c r="B57" s="366">
        <v>22040500</v>
      </c>
      <c r="C57" s="399" t="s">
        <v>52</v>
      </c>
      <c r="D57" s="365">
        <f t="shared" si="0"/>
        <v>22040500</v>
      </c>
      <c r="E57" s="393" t="s">
        <v>42</v>
      </c>
      <c r="F57" s="380" t="s">
        <v>180</v>
      </c>
      <c r="G57" s="408"/>
      <c r="H57" s="394"/>
      <c r="I57" s="394"/>
      <c r="J57" s="394"/>
      <c r="K57" s="394"/>
      <c r="L57" s="394"/>
      <c r="M57" s="394"/>
      <c r="N57" s="384">
        <v>6100000</v>
      </c>
      <c r="O57" s="383">
        <f t="shared" si="7"/>
        <v>29326.923076923078</v>
      </c>
      <c r="P57" s="382">
        <f t="shared" si="3"/>
        <v>43990.384615384617</v>
      </c>
      <c r="Q57" s="395">
        <v>500000</v>
      </c>
      <c r="R57" s="395"/>
      <c r="S57" s="384">
        <v>350000</v>
      </c>
      <c r="T57" s="394">
        <v>15000</v>
      </c>
      <c r="U57" s="384"/>
      <c r="V57" s="384">
        <v>25000</v>
      </c>
      <c r="W57" s="385">
        <f t="shared" si="5"/>
        <v>1311500</v>
      </c>
      <c r="X57" s="386">
        <f t="shared" si="6"/>
        <v>640500</v>
      </c>
      <c r="Y57" s="396" t="s">
        <v>105</v>
      </c>
      <c r="AA57" s="388">
        <f t="shared" si="9"/>
        <v>8808750</v>
      </c>
      <c r="AB57" s="389">
        <f t="shared" si="1"/>
        <v>234615.38461538462</v>
      </c>
    </row>
    <row r="58" spans="1:28" ht="22.5" customHeight="1">
      <c r="A58" s="377">
        <v>51</v>
      </c>
      <c r="B58" s="366">
        <v>23062300</v>
      </c>
      <c r="C58" s="419" t="s">
        <v>302</v>
      </c>
      <c r="D58" s="365">
        <f t="shared" si="0"/>
        <v>23062300</v>
      </c>
      <c r="E58" s="393" t="s">
        <v>42</v>
      </c>
      <c r="F58" s="414" t="s">
        <v>307</v>
      </c>
      <c r="G58" s="421"/>
      <c r="H58" s="394"/>
      <c r="I58" s="394"/>
      <c r="J58" s="395"/>
      <c r="K58" s="395"/>
      <c r="L58" s="395"/>
      <c r="M58" s="395"/>
      <c r="N58" s="384">
        <v>5700000</v>
      </c>
      <c r="O58" s="383">
        <f t="shared" si="7"/>
        <v>27403.846153846152</v>
      </c>
      <c r="P58" s="382">
        <f t="shared" si="3"/>
        <v>41105.769230769227</v>
      </c>
      <c r="Q58" s="395">
        <v>500000</v>
      </c>
      <c r="R58" s="395"/>
      <c r="S58" s="384">
        <v>350000</v>
      </c>
      <c r="T58" s="394">
        <v>15000</v>
      </c>
      <c r="U58" s="384"/>
      <c r="V58" s="384">
        <v>25000</v>
      </c>
      <c r="W58" s="385">
        <f t="shared" si="5"/>
        <v>1225500</v>
      </c>
      <c r="X58" s="386">
        <f t="shared" si="6"/>
        <v>598500</v>
      </c>
      <c r="Y58" s="396" t="s">
        <v>105</v>
      </c>
      <c r="AA58" s="388">
        <f t="shared" si="9"/>
        <v>8333750</v>
      </c>
      <c r="AB58" s="389">
        <f t="shared" si="1"/>
        <v>219230.76923076922</v>
      </c>
    </row>
    <row r="59" spans="1:28" ht="22.5" customHeight="1">
      <c r="A59" s="377">
        <v>52</v>
      </c>
      <c r="B59" s="399">
        <v>25061800</v>
      </c>
      <c r="C59" s="396" t="s">
        <v>303</v>
      </c>
      <c r="D59" s="365">
        <f t="shared" si="0"/>
        <v>25061800</v>
      </c>
      <c r="E59" s="393" t="s">
        <v>21</v>
      </c>
      <c r="F59" s="400" t="s">
        <v>310</v>
      </c>
      <c r="G59" s="408"/>
      <c r="H59" s="394"/>
      <c r="I59" s="394"/>
      <c r="J59" s="395"/>
      <c r="K59" s="395"/>
      <c r="L59" s="395"/>
      <c r="M59" s="395"/>
      <c r="N59" s="395">
        <v>5500000</v>
      </c>
      <c r="O59" s="383">
        <f t="shared" si="7"/>
        <v>26442.307692307691</v>
      </c>
      <c r="P59" s="382">
        <f t="shared" si="3"/>
        <v>39663.461538461539</v>
      </c>
      <c r="Q59" s="395">
        <v>500000</v>
      </c>
      <c r="R59" s="395"/>
      <c r="S59" s="394">
        <v>3400000</v>
      </c>
      <c r="T59" s="394">
        <v>15000</v>
      </c>
      <c r="U59" s="384"/>
      <c r="V59" s="384">
        <v>25000</v>
      </c>
      <c r="W59" s="385">
        <f t="shared" si="5"/>
        <v>1182500</v>
      </c>
      <c r="X59" s="386">
        <f t="shared" si="6"/>
        <v>577500</v>
      </c>
      <c r="Y59" s="396" t="s">
        <v>105</v>
      </c>
      <c r="AA59" s="388">
        <f t="shared" si="9"/>
        <v>11146250</v>
      </c>
      <c r="AB59" s="389">
        <f t="shared" si="1"/>
        <v>211538.46153846153</v>
      </c>
    </row>
    <row r="60" spans="1:28" ht="22.5" customHeight="1">
      <c r="A60" s="377">
        <v>53</v>
      </c>
      <c r="B60" s="399">
        <v>25031700</v>
      </c>
      <c r="C60" s="396" t="s">
        <v>309</v>
      </c>
      <c r="D60" s="365">
        <f t="shared" si="0"/>
        <v>25031700</v>
      </c>
      <c r="E60" s="393" t="s">
        <v>21</v>
      </c>
      <c r="F60" s="422" t="s">
        <v>311</v>
      </c>
      <c r="G60" s="408"/>
      <c r="H60" s="394"/>
      <c r="I60" s="394"/>
      <c r="J60" s="394"/>
      <c r="K60" s="395"/>
      <c r="L60" s="395"/>
      <c r="M60" s="394"/>
      <c r="N60" s="395">
        <v>5500000</v>
      </c>
      <c r="O60" s="383">
        <f t="shared" si="7"/>
        <v>26442.307692307691</v>
      </c>
      <c r="P60" s="382">
        <f t="shared" si="3"/>
        <v>39663.461538461539</v>
      </c>
      <c r="Q60" s="384">
        <v>500000</v>
      </c>
      <c r="R60" s="384"/>
      <c r="S60" s="384">
        <v>50000</v>
      </c>
      <c r="T60" s="384">
        <v>15000</v>
      </c>
      <c r="U60" s="384">
        <v>80000</v>
      </c>
      <c r="V60" s="384">
        <v>25000</v>
      </c>
      <c r="W60" s="385">
        <f t="shared" si="5"/>
        <v>1182500</v>
      </c>
      <c r="X60" s="386">
        <f t="shared" si="6"/>
        <v>577500</v>
      </c>
      <c r="Y60" s="396" t="s">
        <v>105</v>
      </c>
      <c r="AA60" s="388">
        <f t="shared" si="9"/>
        <v>8836250</v>
      </c>
      <c r="AB60" s="389">
        <f t="shared" si="1"/>
        <v>211538.46153846153</v>
      </c>
    </row>
    <row r="61" spans="1:28" ht="22.5" customHeight="1">
      <c r="A61" s="377">
        <v>54</v>
      </c>
      <c r="B61" s="399">
        <v>25060200</v>
      </c>
      <c r="C61" s="396" t="s">
        <v>317</v>
      </c>
      <c r="D61" s="365">
        <f t="shared" si="0"/>
        <v>25060200</v>
      </c>
      <c r="E61" s="377" t="s">
        <v>42</v>
      </c>
      <c r="F61" s="400" t="s">
        <v>318</v>
      </c>
      <c r="G61" s="408"/>
      <c r="H61" s="394"/>
      <c r="I61" s="394"/>
      <c r="J61" s="395"/>
      <c r="K61" s="395"/>
      <c r="L61" s="395"/>
      <c r="M61" s="394"/>
      <c r="N61" s="395">
        <v>5310000</v>
      </c>
      <c r="O61" s="383">
        <f t="shared" si="7"/>
        <v>25528.846153846152</v>
      </c>
      <c r="P61" s="382">
        <f t="shared" si="3"/>
        <v>38293.269230769227</v>
      </c>
      <c r="Q61" s="384">
        <v>500000</v>
      </c>
      <c r="R61" s="384"/>
      <c r="S61" s="384">
        <v>50000</v>
      </c>
      <c r="T61" s="384">
        <v>15000</v>
      </c>
      <c r="U61" s="384"/>
      <c r="V61" s="384">
        <v>25000</v>
      </c>
      <c r="W61" s="385">
        <f t="shared" si="5"/>
        <v>1141650</v>
      </c>
      <c r="X61" s="386">
        <f t="shared" si="6"/>
        <v>557550</v>
      </c>
      <c r="Y61" s="396" t="s">
        <v>105</v>
      </c>
      <c r="AA61" s="388">
        <f t="shared" si="9"/>
        <v>7570625</v>
      </c>
      <c r="AB61" s="389">
        <f t="shared" si="1"/>
        <v>204230.76923076922</v>
      </c>
    </row>
    <row r="62" spans="1:28" ht="22.5" customHeight="1">
      <c r="A62" s="377"/>
      <c r="B62" s="398"/>
      <c r="C62" s="390"/>
      <c r="D62" s="365">
        <f t="shared" si="0"/>
        <v>0</v>
      </c>
      <c r="E62" s="377"/>
      <c r="F62" s="400"/>
      <c r="G62" s="413"/>
      <c r="H62" s="394"/>
      <c r="I62" s="394"/>
      <c r="J62" s="395"/>
      <c r="K62" s="396"/>
      <c r="L62" s="396"/>
      <c r="M62" s="394"/>
      <c r="N62" s="395"/>
      <c r="O62" s="383">
        <f t="shared" si="7"/>
        <v>0</v>
      </c>
      <c r="P62" s="382">
        <f t="shared" si="3"/>
        <v>0</v>
      </c>
      <c r="Q62" s="395"/>
      <c r="R62" s="395"/>
      <c r="S62" s="384"/>
      <c r="T62" s="394"/>
      <c r="U62" s="395"/>
      <c r="V62" s="395"/>
      <c r="W62" s="385">
        <f t="shared" si="5"/>
        <v>0</v>
      </c>
      <c r="X62" s="386">
        <f t="shared" si="6"/>
        <v>0</v>
      </c>
      <c r="Y62" s="396"/>
      <c r="AA62" s="388">
        <f t="shared" si="9"/>
        <v>0</v>
      </c>
      <c r="AB62" s="389">
        <f t="shared" si="1"/>
        <v>0</v>
      </c>
    </row>
    <row r="63" spans="1:28" ht="22.5" customHeight="1">
      <c r="A63" s="377"/>
      <c r="B63" s="399"/>
      <c r="C63" s="396"/>
      <c r="D63" s="365">
        <f t="shared" si="0"/>
        <v>0</v>
      </c>
      <c r="E63" s="377"/>
      <c r="F63" s="414"/>
      <c r="G63" s="413"/>
      <c r="H63" s="394"/>
      <c r="I63" s="394"/>
      <c r="J63" s="395"/>
      <c r="K63" s="396"/>
      <c r="L63" s="396"/>
      <c r="M63" s="394"/>
      <c r="N63" s="395"/>
      <c r="O63" s="383">
        <f t="shared" si="7"/>
        <v>0</v>
      </c>
      <c r="P63" s="382">
        <f t="shared" si="3"/>
        <v>0</v>
      </c>
      <c r="Q63" s="395"/>
      <c r="R63" s="395"/>
      <c r="S63" s="394"/>
      <c r="T63" s="394"/>
      <c r="U63" s="395"/>
      <c r="V63" s="395"/>
      <c r="W63" s="385">
        <f t="shared" si="5"/>
        <v>0</v>
      </c>
      <c r="X63" s="386">
        <f t="shared" si="6"/>
        <v>0</v>
      </c>
      <c r="Y63" s="396"/>
      <c r="AA63" s="359">
        <f t="shared" si="9"/>
        <v>0</v>
      </c>
      <c r="AB63" s="389">
        <f t="shared" si="1"/>
        <v>0</v>
      </c>
    </row>
    <row r="64" spans="1:28" ht="22.5" customHeight="1">
      <c r="A64" s="377"/>
      <c r="B64" s="399"/>
      <c r="C64" s="396"/>
      <c r="D64" s="365">
        <f t="shared" si="0"/>
        <v>0</v>
      </c>
      <c r="E64" s="393"/>
      <c r="F64" s="414"/>
      <c r="G64" s="413"/>
      <c r="H64" s="394"/>
      <c r="I64" s="394"/>
      <c r="J64" s="395"/>
      <c r="K64" s="396"/>
      <c r="L64" s="396"/>
      <c r="M64" s="394"/>
      <c r="N64" s="395"/>
      <c r="O64" s="383">
        <f t="shared" si="7"/>
        <v>0</v>
      </c>
      <c r="P64" s="382">
        <f t="shared" si="3"/>
        <v>0</v>
      </c>
      <c r="Q64" s="395"/>
      <c r="R64" s="395"/>
      <c r="S64" s="394"/>
      <c r="T64" s="394"/>
      <c r="U64" s="395"/>
      <c r="V64" s="395"/>
      <c r="W64" s="385">
        <f>IF(Y64="",0,(N64*21.5%))</f>
        <v>0</v>
      </c>
      <c r="X64" s="386">
        <f>IF(Y64="",0,(N64*10.5%))</f>
        <v>0</v>
      </c>
      <c r="Y64" s="396"/>
      <c r="AB64" s="389">
        <f t="shared" si="1"/>
        <v>0</v>
      </c>
    </row>
    <row r="65" spans="1:28" ht="22.5" customHeight="1">
      <c r="A65" s="377"/>
      <c r="B65" s="399"/>
      <c r="C65" s="396"/>
      <c r="D65" s="365"/>
      <c r="E65" s="393"/>
      <c r="F65" s="399"/>
      <c r="G65" s="413"/>
      <c r="H65" s="394"/>
      <c r="I65" s="394"/>
      <c r="J65" s="395"/>
      <c r="K65" s="396"/>
      <c r="L65" s="396"/>
      <c r="M65" s="396"/>
      <c r="N65" s="394"/>
      <c r="O65" s="383">
        <f t="shared" si="7"/>
        <v>0</v>
      </c>
      <c r="P65" s="382">
        <f t="shared" si="3"/>
        <v>0</v>
      </c>
      <c r="Q65" s="395"/>
      <c r="R65" s="395"/>
      <c r="S65" s="394"/>
      <c r="T65" s="394"/>
      <c r="U65" s="395"/>
      <c r="V65" s="395"/>
      <c r="W65" s="385">
        <f>IF(Y65="",0,(N65*21.5%))</f>
        <v>0</v>
      </c>
      <c r="X65" s="386">
        <f>IF(Y65="",0,(N65*10.5%))</f>
        <v>0</v>
      </c>
      <c r="Y65" s="396"/>
      <c r="AB65" s="423">
        <f>SUM(AB8:AB64)</f>
        <v>13145565.610859733</v>
      </c>
    </row>
    <row r="66" spans="1:28" ht="22.5" customHeight="1">
      <c r="A66" s="377"/>
      <c r="B66" s="399"/>
      <c r="C66" s="396"/>
      <c r="D66" s="365"/>
      <c r="E66" s="393"/>
      <c r="F66" s="399"/>
      <c r="G66" s="413"/>
      <c r="H66" s="395"/>
      <c r="I66" s="394"/>
      <c r="J66" s="395"/>
      <c r="K66" s="396"/>
      <c r="L66" s="396"/>
      <c r="M66" s="396"/>
      <c r="N66" s="394"/>
      <c r="O66" s="383">
        <f t="shared" si="7"/>
        <v>0</v>
      </c>
      <c r="P66" s="382">
        <f t="shared" si="3"/>
        <v>0</v>
      </c>
      <c r="Q66" s="395"/>
      <c r="R66" s="395"/>
      <c r="S66" s="394"/>
      <c r="T66" s="394"/>
      <c r="U66" s="395"/>
      <c r="V66" s="395"/>
      <c r="W66" s="385"/>
      <c r="X66" s="386"/>
      <c r="Y66" s="396"/>
    </row>
    <row r="67" spans="1:28" ht="22.5" customHeight="1">
      <c r="A67" s="377"/>
      <c r="B67" s="399"/>
      <c r="C67" s="396"/>
      <c r="D67" s="365"/>
      <c r="E67" s="393"/>
      <c r="F67" s="399"/>
      <c r="G67" s="413"/>
      <c r="H67" s="395"/>
      <c r="I67" s="394"/>
      <c r="J67" s="395"/>
      <c r="K67" s="396"/>
      <c r="L67" s="395"/>
      <c r="M67" s="396"/>
      <c r="N67" s="394"/>
      <c r="O67" s="383">
        <f t="shared" si="7"/>
        <v>0</v>
      </c>
      <c r="P67" s="382">
        <f t="shared" si="3"/>
        <v>0</v>
      </c>
      <c r="Q67" s="395"/>
      <c r="R67" s="395"/>
      <c r="S67" s="394"/>
      <c r="T67" s="394"/>
      <c r="U67" s="395"/>
      <c r="V67" s="395"/>
      <c r="W67" s="385"/>
      <c r="X67" s="386"/>
      <c r="Y67" s="396"/>
    </row>
    <row r="68" spans="1:28" ht="22.5" customHeight="1">
      <c r="A68" s="377"/>
      <c r="B68" s="399"/>
      <c r="C68" s="396"/>
      <c r="D68" s="365"/>
      <c r="E68" s="393"/>
      <c r="F68" s="399"/>
      <c r="G68" s="413"/>
      <c r="H68" s="395"/>
      <c r="I68" s="394"/>
      <c r="J68" s="395"/>
      <c r="K68" s="396"/>
      <c r="L68" s="396"/>
      <c r="M68" s="396"/>
      <c r="N68" s="394"/>
      <c r="O68" s="383">
        <f t="shared" si="7"/>
        <v>0</v>
      </c>
      <c r="P68" s="382">
        <f t="shared" si="3"/>
        <v>0</v>
      </c>
      <c r="Q68" s="395"/>
      <c r="R68" s="395"/>
      <c r="S68" s="394"/>
      <c r="T68" s="394"/>
      <c r="U68" s="395"/>
      <c r="V68" s="395"/>
      <c r="W68" s="385"/>
      <c r="X68" s="386"/>
      <c r="Y68" s="396"/>
    </row>
    <row r="69" spans="1:28" ht="22.5" customHeight="1">
      <c r="A69" s="377"/>
      <c r="B69" s="399"/>
      <c r="C69" s="396"/>
      <c r="D69" s="365"/>
      <c r="E69" s="393"/>
      <c r="F69" s="399"/>
      <c r="G69" s="413"/>
      <c r="H69" s="395"/>
      <c r="I69" s="394"/>
      <c r="J69" s="395"/>
      <c r="K69" s="396"/>
      <c r="L69" s="396"/>
      <c r="M69" s="396"/>
      <c r="N69" s="394"/>
      <c r="O69" s="383">
        <f t="shared" si="7"/>
        <v>0</v>
      </c>
      <c r="P69" s="382">
        <f t="shared" si="3"/>
        <v>0</v>
      </c>
      <c r="Q69" s="395"/>
      <c r="R69" s="395"/>
      <c r="S69" s="394"/>
      <c r="T69" s="394"/>
      <c r="U69" s="395"/>
      <c r="V69" s="395"/>
      <c r="W69" s="385"/>
      <c r="X69" s="386"/>
      <c r="Y69" s="396"/>
    </row>
    <row r="70" spans="1:28" ht="22.5" customHeight="1">
      <c r="A70" s="377"/>
      <c r="B70" s="424"/>
      <c r="C70" s="396"/>
      <c r="D70" s="365">
        <f t="shared" si="0"/>
        <v>0</v>
      </c>
      <c r="E70" s="396"/>
      <c r="F70" s="399"/>
      <c r="G70" s="396"/>
      <c r="H70" s="395"/>
      <c r="I70" s="395"/>
      <c r="J70" s="395"/>
      <c r="K70" s="396"/>
      <c r="L70" s="396"/>
      <c r="M70" s="396"/>
      <c r="N70" s="394"/>
      <c r="O70" s="383">
        <f t="shared" si="7"/>
        <v>0</v>
      </c>
      <c r="P70" s="382">
        <f t="shared" si="3"/>
        <v>0</v>
      </c>
      <c r="Q70" s="395"/>
      <c r="R70" s="395"/>
      <c r="S70" s="394"/>
      <c r="T70" s="394"/>
      <c r="U70" s="395"/>
      <c r="V70" s="395"/>
      <c r="W70" s="385">
        <f t="shared" ref="W70:W76" si="10">IF(Y70="",0,(N70*21.5%))</f>
        <v>0</v>
      </c>
      <c r="X70" s="386">
        <f>IF(Y70="",0,(N70*10.5%))</f>
        <v>0</v>
      </c>
    </row>
    <row r="71" spans="1:28" ht="22.5" customHeight="1">
      <c r="A71" s="377"/>
      <c r="B71" s="399"/>
      <c r="C71" s="425"/>
      <c r="D71" s="365">
        <f t="shared" si="0"/>
        <v>0</v>
      </c>
      <c r="E71" s="396"/>
      <c r="F71" s="399"/>
      <c r="G71" s="396"/>
      <c r="H71" s="395"/>
      <c r="I71" s="395"/>
      <c r="J71" s="395"/>
      <c r="K71" s="396"/>
      <c r="L71" s="396"/>
      <c r="M71" s="396"/>
      <c r="N71" s="394"/>
      <c r="O71" s="383">
        <f t="shared" si="7"/>
        <v>0</v>
      </c>
      <c r="P71" s="382">
        <f t="shared" si="3"/>
        <v>0</v>
      </c>
      <c r="Q71" s="395"/>
      <c r="R71" s="395"/>
      <c r="S71" s="394"/>
      <c r="T71" s="394"/>
      <c r="U71" s="395"/>
      <c r="V71" s="395"/>
      <c r="W71" s="385">
        <f t="shared" si="10"/>
        <v>0</v>
      </c>
      <c r="X71" s="386">
        <f>IF(Y71="",0,(N71*10.5%))</f>
        <v>0</v>
      </c>
    </row>
    <row r="72" spans="1:28" ht="22.5" customHeight="1">
      <c r="A72" s="377"/>
      <c r="B72" s="396"/>
      <c r="C72" s="396"/>
      <c r="D72" s="365">
        <f t="shared" si="0"/>
        <v>0</v>
      </c>
      <c r="E72" s="396"/>
      <c r="F72" s="399"/>
      <c r="G72" s="396"/>
      <c r="H72" s="395"/>
      <c r="I72" s="395"/>
      <c r="J72" s="395"/>
      <c r="K72" s="396"/>
      <c r="L72" s="396"/>
      <c r="M72" s="396"/>
      <c r="N72" s="394"/>
      <c r="O72" s="383">
        <f t="shared" si="7"/>
        <v>0</v>
      </c>
      <c r="P72" s="382">
        <f t="shared" si="3"/>
        <v>0</v>
      </c>
      <c r="Q72" s="395"/>
      <c r="R72" s="395"/>
      <c r="S72" s="394"/>
      <c r="T72" s="394"/>
      <c r="U72" s="395"/>
      <c r="V72" s="395"/>
      <c r="W72" s="385">
        <f t="shared" si="10"/>
        <v>0</v>
      </c>
      <c r="X72" s="386">
        <f>IF(Y72="",0,(N72*10.5%))</f>
        <v>0</v>
      </c>
    </row>
    <row r="73" spans="1:28" ht="22.5" customHeight="1">
      <c r="A73" s="377"/>
      <c r="B73" s="396"/>
      <c r="C73" s="396"/>
      <c r="D73" s="365">
        <f t="shared" ref="D73:D98" si="11">B73</f>
        <v>0</v>
      </c>
      <c r="E73" s="396"/>
      <c r="F73" s="399"/>
      <c r="G73" s="396"/>
      <c r="H73" s="396"/>
      <c r="I73" s="396"/>
      <c r="J73" s="396"/>
      <c r="K73" s="396"/>
      <c r="L73" s="396"/>
      <c r="M73" s="396"/>
      <c r="N73" s="394"/>
      <c r="O73" s="383">
        <f t="shared" ref="O73:O103" si="12">N73/208</f>
        <v>0</v>
      </c>
      <c r="P73" s="382">
        <f t="shared" si="3"/>
        <v>0</v>
      </c>
      <c r="Q73" s="395"/>
      <c r="R73" s="395"/>
      <c r="S73" s="394"/>
      <c r="T73" s="394"/>
      <c r="U73" s="395"/>
      <c r="V73" s="395"/>
      <c r="W73" s="385">
        <f t="shared" si="10"/>
        <v>0</v>
      </c>
      <c r="X73" s="386">
        <f t="shared" ref="X73:X99" si="13">IF(Y73="",0,(N73*10.5%))</f>
        <v>0</v>
      </c>
    </row>
    <row r="74" spans="1:28" ht="22.5" customHeight="1">
      <c r="A74" s="377"/>
      <c r="B74" s="396"/>
      <c r="C74" s="396"/>
      <c r="D74" s="365">
        <f t="shared" si="11"/>
        <v>0</v>
      </c>
      <c r="E74" s="396"/>
      <c r="F74" s="399"/>
      <c r="G74" s="396"/>
      <c r="H74" s="396"/>
      <c r="I74" s="396"/>
      <c r="J74" s="396"/>
      <c r="K74" s="396"/>
      <c r="L74" s="396"/>
      <c r="M74" s="396"/>
      <c r="N74" s="394"/>
      <c r="O74" s="383">
        <f t="shared" si="12"/>
        <v>0</v>
      </c>
      <c r="P74" s="382">
        <f t="shared" ref="P74:P103" si="14">O74*1.5</f>
        <v>0</v>
      </c>
      <c r="Q74" s="395"/>
      <c r="R74" s="395"/>
      <c r="S74" s="394"/>
      <c r="T74" s="394"/>
      <c r="U74" s="395"/>
      <c r="V74" s="395"/>
      <c r="W74" s="385">
        <f t="shared" si="10"/>
        <v>0</v>
      </c>
      <c r="X74" s="386">
        <f t="shared" si="13"/>
        <v>0</v>
      </c>
    </row>
    <row r="75" spans="1:28" ht="22.5" customHeight="1">
      <c r="A75" s="377"/>
      <c r="B75" s="396"/>
      <c r="C75" s="396"/>
      <c r="D75" s="365">
        <f t="shared" si="11"/>
        <v>0</v>
      </c>
      <c r="E75" s="396"/>
      <c r="F75" s="399"/>
      <c r="G75" s="396"/>
      <c r="H75" s="396"/>
      <c r="I75" s="396"/>
      <c r="J75" s="396"/>
      <c r="K75" s="396"/>
      <c r="L75" s="396"/>
      <c r="M75" s="396"/>
      <c r="N75" s="394"/>
      <c r="O75" s="383">
        <f t="shared" si="12"/>
        <v>0</v>
      </c>
      <c r="P75" s="382">
        <f t="shared" si="14"/>
        <v>0</v>
      </c>
      <c r="Q75" s="395"/>
      <c r="R75" s="395"/>
      <c r="S75" s="394"/>
      <c r="T75" s="394"/>
      <c r="U75" s="395"/>
      <c r="V75" s="395"/>
      <c r="W75" s="385">
        <f t="shared" si="10"/>
        <v>0</v>
      </c>
      <c r="X75" s="386">
        <f t="shared" si="13"/>
        <v>0</v>
      </c>
    </row>
    <row r="76" spans="1:28" ht="22.5" customHeight="1">
      <c r="A76" s="377"/>
      <c r="B76" s="396"/>
      <c r="C76" s="396"/>
      <c r="D76" s="365">
        <f t="shared" si="11"/>
        <v>0</v>
      </c>
      <c r="E76" s="396"/>
      <c r="F76" s="399"/>
      <c r="G76" s="396"/>
      <c r="H76" s="396"/>
      <c r="I76" s="396"/>
      <c r="J76" s="396"/>
      <c r="K76" s="396"/>
      <c r="L76" s="396"/>
      <c r="M76" s="396"/>
      <c r="N76" s="394"/>
      <c r="O76" s="383">
        <f t="shared" si="12"/>
        <v>0</v>
      </c>
      <c r="P76" s="382">
        <f t="shared" si="14"/>
        <v>0</v>
      </c>
      <c r="Q76" s="395"/>
      <c r="R76" s="395"/>
      <c r="S76" s="394"/>
      <c r="T76" s="394"/>
      <c r="U76" s="395"/>
      <c r="V76" s="395"/>
      <c r="W76" s="385">
        <f t="shared" si="10"/>
        <v>0</v>
      </c>
      <c r="X76" s="386">
        <f t="shared" si="13"/>
        <v>0</v>
      </c>
    </row>
    <row r="77" spans="1:28" ht="22.5" customHeight="1">
      <c r="A77" s="377"/>
      <c r="B77" s="396"/>
      <c r="C77" s="396"/>
      <c r="D77" s="365">
        <f t="shared" si="11"/>
        <v>0</v>
      </c>
      <c r="E77" s="396"/>
      <c r="F77" s="399"/>
      <c r="G77" s="396"/>
      <c r="H77" s="396"/>
      <c r="I77" s="396"/>
      <c r="J77" s="396"/>
      <c r="K77" s="396"/>
      <c r="L77" s="396"/>
      <c r="M77" s="396"/>
      <c r="N77" s="394"/>
      <c r="O77" s="383">
        <f t="shared" si="12"/>
        <v>0</v>
      </c>
      <c r="P77" s="382">
        <f t="shared" si="14"/>
        <v>0</v>
      </c>
      <c r="Q77" s="395"/>
      <c r="R77" s="395"/>
      <c r="S77" s="394"/>
      <c r="T77" s="394"/>
      <c r="U77" s="395"/>
      <c r="V77" s="395"/>
      <c r="W77" s="385">
        <f t="shared" ref="W77:W99" si="15">IF(Y77="X",(N77*21.5%),0)</f>
        <v>0</v>
      </c>
      <c r="X77" s="386">
        <f t="shared" si="13"/>
        <v>0</v>
      </c>
    </row>
    <row r="78" spans="1:28" ht="22.5" customHeight="1">
      <c r="A78" s="377"/>
      <c r="B78" s="396"/>
      <c r="C78" s="396"/>
      <c r="D78" s="365">
        <f t="shared" si="11"/>
        <v>0</v>
      </c>
      <c r="E78" s="396"/>
      <c r="F78" s="399"/>
      <c r="G78" s="396"/>
      <c r="H78" s="396"/>
      <c r="I78" s="396"/>
      <c r="J78" s="396"/>
      <c r="K78" s="396"/>
      <c r="L78" s="396"/>
      <c r="M78" s="396"/>
      <c r="N78" s="394"/>
      <c r="O78" s="383">
        <f t="shared" si="12"/>
        <v>0</v>
      </c>
      <c r="P78" s="382">
        <f t="shared" si="14"/>
        <v>0</v>
      </c>
      <c r="Q78" s="395"/>
      <c r="R78" s="395"/>
      <c r="S78" s="394"/>
      <c r="T78" s="394"/>
      <c r="U78" s="395"/>
      <c r="V78" s="395"/>
      <c r="W78" s="385">
        <f t="shared" si="15"/>
        <v>0</v>
      </c>
      <c r="X78" s="386">
        <f t="shared" si="13"/>
        <v>0</v>
      </c>
    </row>
    <row r="79" spans="1:28" ht="22.5" customHeight="1">
      <c r="A79" s="377"/>
      <c r="B79" s="396"/>
      <c r="C79" s="396"/>
      <c r="D79" s="365">
        <f t="shared" si="11"/>
        <v>0</v>
      </c>
      <c r="E79" s="396"/>
      <c r="F79" s="399"/>
      <c r="G79" s="396"/>
      <c r="H79" s="396"/>
      <c r="I79" s="396"/>
      <c r="J79" s="396"/>
      <c r="K79" s="396"/>
      <c r="L79" s="396"/>
      <c r="M79" s="396"/>
      <c r="N79" s="394"/>
      <c r="O79" s="383">
        <f t="shared" si="12"/>
        <v>0</v>
      </c>
      <c r="P79" s="382">
        <f t="shared" si="14"/>
        <v>0</v>
      </c>
      <c r="Q79" s="395"/>
      <c r="R79" s="395"/>
      <c r="S79" s="394"/>
      <c r="T79" s="394"/>
      <c r="U79" s="395"/>
      <c r="V79" s="395"/>
      <c r="W79" s="385">
        <f t="shared" si="15"/>
        <v>0</v>
      </c>
      <c r="X79" s="386">
        <f t="shared" si="13"/>
        <v>0</v>
      </c>
    </row>
    <row r="80" spans="1:28" ht="22.5" customHeight="1">
      <c r="A80" s="377"/>
      <c r="B80" s="396"/>
      <c r="C80" s="396"/>
      <c r="D80" s="365">
        <f t="shared" si="11"/>
        <v>0</v>
      </c>
      <c r="E80" s="396"/>
      <c r="F80" s="399"/>
      <c r="G80" s="396"/>
      <c r="H80" s="396"/>
      <c r="I80" s="396"/>
      <c r="J80" s="396"/>
      <c r="K80" s="396"/>
      <c r="L80" s="396"/>
      <c r="M80" s="396"/>
      <c r="N80" s="394"/>
      <c r="O80" s="383">
        <f t="shared" si="12"/>
        <v>0</v>
      </c>
      <c r="P80" s="382">
        <f t="shared" si="14"/>
        <v>0</v>
      </c>
      <c r="Q80" s="395"/>
      <c r="R80" s="395"/>
      <c r="S80" s="394"/>
      <c r="T80" s="394"/>
      <c r="U80" s="395"/>
      <c r="V80" s="395"/>
      <c r="W80" s="385">
        <f t="shared" si="15"/>
        <v>0</v>
      </c>
      <c r="X80" s="386">
        <f t="shared" si="13"/>
        <v>0</v>
      </c>
    </row>
    <row r="81" spans="1:24" ht="22.5" customHeight="1">
      <c r="A81" s="377"/>
      <c r="B81" s="396"/>
      <c r="C81" s="396"/>
      <c r="D81" s="365">
        <f t="shared" si="11"/>
        <v>0</v>
      </c>
      <c r="E81" s="396"/>
      <c r="F81" s="399"/>
      <c r="G81" s="396"/>
      <c r="H81" s="396"/>
      <c r="I81" s="396"/>
      <c r="J81" s="396"/>
      <c r="K81" s="396"/>
      <c r="L81" s="396"/>
      <c r="M81" s="396"/>
      <c r="N81" s="394"/>
      <c r="O81" s="383">
        <f t="shared" si="12"/>
        <v>0</v>
      </c>
      <c r="P81" s="382">
        <f t="shared" si="14"/>
        <v>0</v>
      </c>
      <c r="Q81" s="395"/>
      <c r="R81" s="395"/>
      <c r="S81" s="394"/>
      <c r="T81" s="394"/>
      <c r="U81" s="395"/>
      <c r="V81" s="395"/>
      <c r="W81" s="385">
        <f t="shared" si="15"/>
        <v>0</v>
      </c>
      <c r="X81" s="386">
        <f t="shared" si="13"/>
        <v>0</v>
      </c>
    </row>
    <row r="82" spans="1:24" ht="22.5" customHeight="1">
      <c r="A82" s="377"/>
      <c r="B82" s="396"/>
      <c r="C82" s="396"/>
      <c r="D82" s="365">
        <f t="shared" si="11"/>
        <v>0</v>
      </c>
      <c r="E82" s="396"/>
      <c r="F82" s="399"/>
      <c r="G82" s="396"/>
      <c r="H82" s="396"/>
      <c r="I82" s="396"/>
      <c r="J82" s="396"/>
      <c r="K82" s="396"/>
      <c r="L82" s="396"/>
      <c r="M82" s="396"/>
      <c r="N82" s="394"/>
      <c r="O82" s="383">
        <f t="shared" si="12"/>
        <v>0</v>
      </c>
      <c r="P82" s="382">
        <f t="shared" si="14"/>
        <v>0</v>
      </c>
      <c r="Q82" s="395"/>
      <c r="R82" s="395"/>
      <c r="S82" s="394"/>
      <c r="T82" s="394"/>
      <c r="U82" s="395"/>
      <c r="V82" s="395"/>
      <c r="W82" s="385">
        <f t="shared" si="15"/>
        <v>0</v>
      </c>
      <c r="X82" s="386">
        <f t="shared" si="13"/>
        <v>0</v>
      </c>
    </row>
    <row r="83" spans="1:24" ht="22.5" customHeight="1">
      <c r="A83" s="377"/>
      <c r="B83" s="396"/>
      <c r="C83" s="396"/>
      <c r="D83" s="365">
        <f t="shared" si="11"/>
        <v>0</v>
      </c>
      <c r="E83" s="396"/>
      <c r="F83" s="399"/>
      <c r="G83" s="396"/>
      <c r="H83" s="396"/>
      <c r="I83" s="396"/>
      <c r="J83" s="396"/>
      <c r="K83" s="396"/>
      <c r="L83" s="396"/>
      <c r="M83" s="396"/>
      <c r="N83" s="394"/>
      <c r="O83" s="383">
        <f t="shared" si="12"/>
        <v>0</v>
      </c>
      <c r="P83" s="382">
        <f t="shared" si="14"/>
        <v>0</v>
      </c>
      <c r="Q83" s="395"/>
      <c r="R83" s="395"/>
      <c r="S83" s="394"/>
      <c r="T83" s="394"/>
      <c r="U83" s="395"/>
      <c r="V83" s="395"/>
      <c r="W83" s="385">
        <f t="shared" si="15"/>
        <v>0</v>
      </c>
      <c r="X83" s="386">
        <f t="shared" si="13"/>
        <v>0</v>
      </c>
    </row>
    <row r="84" spans="1:24" ht="22.5" customHeight="1">
      <c r="A84" s="377"/>
      <c r="B84" s="396"/>
      <c r="C84" s="396"/>
      <c r="D84" s="365">
        <f t="shared" si="11"/>
        <v>0</v>
      </c>
      <c r="E84" s="396"/>
      <c r="F84" s="399"/>
      <c r="G84" s="396"/>
      <c r="H84" s="396"/>
      <c r="I84" s="396"/>
      <c r="J84" s="396"/>
      <c r="K84" s="396"/>
      <c r="L84" s="396"/>
      <c r="M84" s="396"/>
      <c r="N84" s="394"/>
      <c r="O84" s="383">
        <f t="shared" si="12"/>
        <v>0</v>
      </c>
      <c r="P84" s="382">
        <f t="shared" si="14"/>
        <v>0</v>
      </c>
      <c r="Q84" s="395"/>
      <c r="R84" s="395"/>
      <c r="S84" s="394"/>
      <c r="T84" s="394"/>
      <c r="U84" s="395"/>
      <c r="V84" s="395"/>
      <c r="W84" s="385">
        <f t="shared" si="15"/>
        <v>0</v>
      </c>
      <c r="X84" s="386">
        <f t="shared" si="13"/>
        <v>0</v>
      </c>
    </row>
    <row r="85" spans="1:24" ht="22.5" customHeight="1">
      <c r="A85" s="377"/>
      <c r="B85" s="396"/>
      <c r="C85" s="396"/>
      <c r="D85" s="365">
        <f t="shared" si="11"/>
        <v>0</v>
      </c>
      <c r="E85" s="396"/>
      <c r="F85" s="399"/>
      <c r="G85" s="396"/>
      <c r="H85" s="396"/>
      <c r="I85" s="396"/>
      <c r="J85" s="396"/>
      <c r="K85" s="396"/>
      <c r="L85" s="396"/>
      <c r="M85" s="396"/>
      <c r="N85" s="394"/>
      <c r="O85" s="383">
        <f t="shared" si="12"/>
        <v>0</v>
      </c>
      <c r="P85" s="382">
        <f t="shared" si="14"/>
        <v>0</v>
      </c>
      <c r="Q85" s="395"/>
      <c r="R85" s="395"/>
      <c r="S85" s="394"/>
      <c r="T85" s="394"/>
      <c r="U85" s="395"/>
      <c r="V85" s="395"/>
      <c r="W85" s="385">
        <f t="shared" si="15"/>
        <v>0</v>
      </c>
      <c r="X85" s="386">
        <f t="shared" si="13"/>
        <v>0</v>
      </c>
    </row>
    <row r="86" spans="1:24" ht="22.5" customHeight="1">
      <c r="A86" s="377"/>
      <c r="B86" s="396"/>
      <c r="C86" s="396"/>
      <c r="D86" s="365">
        <f t="shared" si="11"/>
        <v>0</v>
      </c>
      <c r="E86" s="396"/>
      <c r="F86" s="399"/>
      <c r="G86" s="396"/>
      <c r="H86" s="396"/>
      <c r="I86" s="396"/>
      <c r="J86" s="396"/>
      <c r="K86" s="396"/>
      <c r="L86" s="396"/>
      <c r="M86" s="396"/>
      <c r="N86" s="394"/>
      <c r="O86" s="383">
        <f t="shared" si="12"/>
        <v>0</v>
      </c>
      <c r="P86" s="382">
        <f t="shared" si="14"/>
        <v>0</v>
      </c>
      <c r="Q86" s="395"/>
      <c r="R86" s="395"/>
      <c r="S86" s="394"/>
      <c r="T86" s="394"/>
      <c r="U86" s="395"/>
      <c r="V86" s="395"/>
      <c r="W86" s="385">
        <f t="shared" si="15"/>
        <v>0</v>
      </c>
      <c r="X86" s="386">
        <f t="shared" si="13"/>
        <v>0</v>
      </c>
    </row>
    <row r="87" spans="1:24" ht="22.5" customHeight="1">
      <c r="A87" s="377"/>
      <c r="B87" s="396"/>
      <c r="C87" s="396"/>
      <c r="D87" s="365">
        <f t="shared" si="11"/>
        <v>0</v>
      </c>
      <c r="E87" s="396"/>
      <c r="F87" s="399"/>
      <c r="G87" s="396"/>
      <c r="H87" s="396"/>
      <c r="I87" s="396"/>
      <c r="J87" s="396"/>
      <c r="K87" s="396"/>
      <c r="L87" s="396"/>
      <c r="M87" s="396"/>
      <c r="N87" s="394"/>
      <c r="O87" s="383">
        <f t="shared" si="12"/>
        <v>0</v>
      </c>
      <c r="P87" s="382">
        <f t="shared" si="14"/>
        <v>0</v>
      </c>
      <c r="Q87" s="395"/>
      <c r="R87" s="395"/>
      <c r="S87" s="394"/>
      <c r="T87" s="394"/>
      <c r="U87" s="395"/>
      <c r="V87" s="395"/>
      <c r="W87" s="385">
        <f t="shared" si="15"/>
        <v>0</v>
      </c>
      <c r="X87" s="386">
        <f t="shared" si="13"/>
        <v>0</v>
      </c>
    </row>
    <row r="88" spans="1:24" ht="22.5" customHeight="1">
      <c r="A88" s="377"/>
      <c r="B88" s="396"/>
      <c r="C88" s="396"/>
      <c r="D88" s="365">
        <f t="shared" si="11"/>
        <v>0</v>
      </c>
      <c r="E88" s="396"/>
      <c r="F88" s="399"/>
      <c r="G88" s="396"/>
      <c r="H88" s="396"/>
      <c r="I88" s="396"/>
      <c r="J88" s="396"/>
      <c r="K88" s="396"/>
      <c r="L88" s="396"/>
      <c r="M88" s="396"/>
      <c r="N88" s="394"/>
      <c r="O88" s="383">
        <f t="shared" si="12"/>
        <v>0</v>
      </c>
      <c r="P88" s="382">
        <f t="shared" si="14"/>
        <v>0</v>
      </c>
      <c r="Q88" s="395"/>
      <c r="R88" s="395"/>
      <c r="S88" s="394"/>
      <c r="T88" s="394"/>
      <c r="U88" s="395"/>
      <c r="V88" s="395"/>
      <c r="W88" s="385">
        <f t="shared" si="15"/>
        <v>0</v>
      </c>
      <c r="X88" s="386">
        <f t="shared" si="13"/>
        <v>0</v>
      </c>
    </row>
    <row r="89" spans="1:24" ht="22.5" customHeight="1">
      <c r="A89" s="377"/>
      <c r="B89" s="396"/>
      <c r="C89" s="396"/>
      <c r="D89" s="365">
        <f t="shared" si="11"/>
        <v>0</v>
      </c>
      <c r="E89" s="396"/>
      <c r="F89" s="399"/>
      <c r="G89" s="396"/>
      <c r="H89" s="396"/>
      <c r="I89" s="396"/>
      <c r="J89" s="396"/>
      <c r="K89" s="396"/>
      <c r="L89" s="396"/>
      <c r="M89" s="396"/>
      <c r="N89" s="394"/>
      <c r="O89" s="383">
        <f t="shared" si="12"/>
        <v>0</v>
      </c>
      <c r="P89" s="382">
        <f t="shared" si="14"/>
        <v>0</v>
      </c>
      <c r="Q89" s="395"/>
      <c r="R89" s="395"/>
      <c r="S89" s="394"/>
      <c r="T89" s="394"/>
      <c r="U89" s="395"/>
      <c r="V89" s="395"/>
      <c r="W89" s="385">
        <f t="shared" si="15"/>
        <v>0</v>
      </c>
      <c r="X89" s="386">
        <f t="shared" si="13"/>
        <v>0</v>
      </c>
    </row>
    <row r="90" spans="1:24" ht="22.5" customHeight="1">
      <c r="A90" s="377"/>
      <c r="B90" s="396"/>
      <c r="C90" s="396"/>
      <c r="D90" s="365">
        <f t="shared" si="11"/>
        <v>0</v>
      </c>
      <c r="E90" s="396"/>
      <c r="F90" s="399"/>
      <c r="G90" s="396"/>
      <c r="H90" s="396"/>
      <c r="I90" s="396"/>
      <c r="J90" s="396"/>
      <c r="K90" s="396"/>
      <c r="L90" s="396"/>
      <c r="M90" s="396"/>
      <c r="N90" s="394"/>
      <c r="O90" s="383">
        <f t="shared" si="12"/>
        <v>0</v>
      </c>
      <c r="P90" s="382">
        <f t="shared" si="14"/>
        <v>0</v>
      </c>
      <c r="Q90" s="395"/>
      <c r="R90" s="395"/>
      <c r="S90" s="394"/>
      <c r="T90" s="394"/>
      <c r="U90" s="395"/>
      <c r="V90" s="395"/>
      <c r="W90" s="385">
        <f t="shared" si="15"/>
        <v>0</v>
      </c>
      <c r="X90" s="386">
        <f t="shared" si="13"/>
        <v>0</v>
      </c>
    </row>
    <row r="91" spans="1:24" ht="22.5" customHeight="1">
      <c r="A91" s="377"/>
      <c r="B91" s="396"/>
      <c r="C91" s="396"/>
      <c r="D91" s="365">
        <f t="shared" si="11"/>
        <v>0</v>
      </c>
      <c r="E91" s="396"/>
      <c r="F91" s="399"/>
      <c r="G91" s="396"/>
      <c r="H91" s="396"/>
      <c r="I91" s="396"/>
      <c r="J91" s="396"/>
      <c r="K91" s="396"/>
      <c r="L91" s="396"/>
      <c r="M91" s="396"/>
      <c r="N91" s="394"/>
      <c r="O91" s="383">
        <f t="shared" si="12"/>
        <v>0</v>
      </c>
      <c r="P91" s="382">
        <f t="shared" si="14"/>
        <v>0</v>
      </c>
      <c r="Q91" s="395"/>
      <c r="R91" s="395"/>
      <c r="S91" s="394"/>
      <c r="T91" s="394"/>
      <c r="U91" s="395"/>
      <c r="V91" s="395"/>
      <c r="W91" s="385">
        <f t="shared" si="15"/>
        <v>0</v>
      </c>
      <c r="X91" s="386">
        <f t="shared" si="13"/>
        <v>0</v>
      </c>
    </row>
    <row r="92" spans="1:24" ht="22.5" customHeight="1">
      <c r="A92" s="377"/>
      <c r="B92" s="396"/>
      <c r="C92" s="396"/>
      <c r="D92" s="365">
        <f t="shared" si="11"/>
        <v>0</v>
      </c>
      <c r="E92" s="396"/>
      <c r="F92" s="399"/>
      <c r="G92" s="396"/>
      <c r="H92" s="396"/>
      <c r="I92" s="396"/>
      <c r="J92" s="396"/>
      <c r="K92" s="396"/>
      <c r="L92" s="396"/>
      <c r="M92" s="396"/>
      <c r="N92" s="394"/>
      <c r="O92" s="383">
        <f t="shared" si="12"/>
        <v>0</v>
      </c>
      <c r="P92" s="382">
        <f t="shared" si="14"/>
        <v>0</v>
      </c>
      <c r="Q92" s="395"/>
      <c r="R92" s="395"/>
      <c r="S92" s="394"/>
      <c r="T92" s="394"/>
      <c r="U92" s="395"/>
      <c r="V92" s="395"/>
      <c r="W92" s="385">
        <f t="shared" si="15"/>
        <v>0</v>
      </c>
      <c r="X92" s="386">
        <f t="shared" si="13"/>
        <v>0</v>
      </c>
    </row>
    <row r="93" spans="1:24" ht="22.5" customHeight="1">
      <c r="A93" s="377"/>
      <c r="B93" s="396"/>
      <c r="C93" s="396"/>
      <c r="D93" s="365">
        <f t="shared" si="11"/>
        <v>0</v>
      </c>
      <c r="E93" s="396"/>
      <c r="F93" s="399"/>
      <c r="G93" s="396"/>
      <c r="H93" s="396"/>
      <c r="I93" s="396"/>
      <c r="J93" s="396"/>
      <c r="K93" s="396"/>
      <c r="L93" s="396"/>
      <c r="M93" s="396"/>
      <c r="N93" s="394"/>
      <c r="O93" s="383">
        <f t="shared" si="12"/>
        <v>0</v>
      </c>
      <c r="P93" s="382">
        <f t="shared" si="14"/>
        <v>0</v>
      </c>
      <c r="Q93" s="395"/>
      <c r="R93" s="395"/>
      <c r="S93" s="394"/>
      <c r="T93" s="394"/>
      <c r="U93" s="395"/>
      <c r="V93" s="395"/>
      <c r="W93" s="385">
        <f t="shared" si="15"/>
        <v>0</v>
      </c>
      <c r="X93" s="386">
        <f t="shared" si="13"/>
        <v>0</v>
      </c>
    </row>
    <row r="94" spans="1:24" ht="22.5" customHeight="1">
      <c r="A94" s="377"/>
      <c r="B94" s="396"/>
      <c r="C94" s="396"/>
      <c r="D94" s="365">
        <f t="shared" si="11"/>
        <v>0</v>
      </c>
      <c r="E94" s="396"/>
      <c r="F94" s="399"/>
      <c r="G94" s="396"/>
      <c r="H94" s="396"/>
      <c r="I94" s="396"/>
      <c r="J94" s="396"/>
      <c r="K94" s="396"/>
      <c r="L94" s="396"/>
      <c r="M94" s="396"/>
      <c r="N94" s="394"/>
      <c r="O94" s="383">
        <f t="shared" si="12"/>
        <v>0</v>
      </c>
      <c r="P94" s="382">
        <f t="shared" si="14"/>
        <v>0</v>
      </c>
      <c r="Q94" s="395"/>
      <c r="R94" s="395"/>
      <c r="S94" s="394"/>
      <c r="T94" s="394"/>
      <c r="U94" s="395"/>
      <c r="V94" s="395"/>
      <c r="W94" s="385">
        <f t="shared" si="15"/>
        <v>0</v>
      </c>
      <c r="X94" s="386">
        <f t="shared" si="13"/>
        <v>0</v>
      </c>
    </row>
    <row r="95" spans="1:24" ht="22.5" customHeight="1">
      <c r="A95" s="377"/>
      <c r="B95" s="396"/>
      <c r="C95" s="396"/>
      <c r="D95" s="365">
        <f t="shared" si="11"/>
        <v>0</v>
      </c>
      <c r="E95" s="396"/>
      <c r="F95" s="399"/>
      <c r="G95" s="396"/>
      <c r="H95" s="396"/>
      <c r="I95" s="396"/>
      <c r="J95" s="396"/>
      <c r="K95" s="396"/>
      <c r="L95" s="396"/>
      <c r="M95" s="396"/>
      <c r="N95" s="394"/>
      <c r="O95" s="383">
        <f t="shared" si="12"/>
        <v>0</v>
      </c>
      <c r="P95" s="382">
        <f t="shared" si="14"/>
        <v>0</v>
      </c>
      <c r="Q95" s="395"/>
      <c r="R95" s="395"/>
      <c r="S95" s="394"/>
      <c r="T95" s="394"/>
      <c r="U95" s="395"/>
      <c r="V95" s="395"/>
      <c r="W95" s="385">
        <f t="shared" si="15"/>
        <v>0</v>
      </c>
      <c r="X95" s="386">
        <f t="shared" si="13"/>
        <v>0</v>
      </c>
    </row>
    <row r="96" spans="1:24" ht="22.5" customHeight="1">
      <c r="A96" s="377"/>
      <c r="B96" s="396"/>
      <c r="C96" s="396"/>
      <c r="D96" s="365">
        <f t="shared" si="11"/>
        <v>0</v>
      </c>
      <c r="E96" s="396"/>
      <c r="F96" s="399"/>
      <c r="G96" s="396"/>
      <c r="H96" s="396"/>
      <c r="I96" s="396"/>
      <c r="J96" s="396"/>
      <c r="K96" s="396"/>
      <c r="L96" s="396"/>
      <c r="M96" s="396"/>
      <c r="N96" s="394"/>
      <c r="O96" s="383">
        <f t="shared" si="12"/>
        <v>0</v>
      </c>
      <c r="P96" s="382">
        <f t="shared" si="14"/>
        <v>0</v>
      </c>
      <c r="Q96" s="395"/>
      <c r="R96" s="395"/>
      <c r="S96" s="394"/>
      <c r="T96" s="394"/>
      <c r="U96" s="395"/>
      <c r="V96" s="395"/>
      <c r="W96" s="385">
        <f t="shared" si="15"/>
        <v>0</v>
      </c>
      <c r="X96" s="386">
        <f t="shared" si="13"/>
        <v>0</v>
      </c>
    </row>
    <row r="97" spans="1:25" ht="22.5" customHeight="1">
      <c r="A97" s="377"/>
      <c r="B97" s="396"/>
      <c r="C97" s="396"/>
      <c r="D97" s="365">
        <f t="shared" si="11"/>
        <v>0</v>
      </c>
      <c r="E97" s="396"/>
      <c r="F97" s="399"/>
      <c r="G97" s="396"/>
      <c r="H97" s="396"/>
      <c r="I97" s="396"/>
      <c r="J97" s="396"/>
      <c r="K97" s="396"/>
      <c r="L97" s="396"/>
      <c r="M97" s="396"/>
      <c r="N97" s="394"/>
      <c r="O97" s="383">
        <f t="shared" si="12"/>
        <v>0</v>
      </c>
      <c r="P97" s="382">
        <f t="shared" si="14"/>
        <v>0</v>
      </c>
      <c r="Q97" s="395"/>
      <c r="R97" s="395"/>
      <c r="S97" s="394"/>
      <c r="T97" s="394"/>
      <c r="U97" s="395"/>
      <c r="V97" s="395"/>
      <c r="W97" s="385">
        <f t="shared" si="15"/>
        <v>0</v>
      </c>
      <c r="X97" s="386">
        <f t="shared" si="13"/>
        <v>0</v>
      </c>
    </row>
    <row r="98" spans="1:25" ht="22.5" customHeight="1">
      <c r="A98" s="377"/>
      <c r="B98" s="396"/>
      <c r="C98" s="396"/>
      <c r="D98" s="365">
        <f t="shared" si="11"/>
        <v>0</v>
      </c>
      <c r="E98" s="396"/>
      <c r="F98" s="399"/>
      <c r="G98" s="396"/>
      <c r="H98" s="396"/>
      <c r="I98" s="396"/>
      <c r="J98" s="396"/>
      <c r="K98" s="396"/>
      <c r="L98" s="396"/>
      <c r="M98" s="396"/>
      <c r="N98" s="394"/>
      <c r="O98" s="383">
        <f t="shared" si="12"/>
        <v>0</v>
      </c>
      <c r="P98" s="382">
        <f t="shared" si="14"/>
        <v>0</v>
      </c>
      <c r="Q98" s="395"/>
      <c r="R98" s="395"/>
      <c r="S98" s="394"/>
      <c r="T98" s="394"/>
      <c r="U98" s="395"/>
      <c r="V98" s="395"/>
      <c r="W98" s="385">
        <f t="shared" si="15"/>
        <v>0</v>
      </c>
      <c r="X98" s="386">
        <f t="shared" si="13"/>
        <v>0</v>
      </c>
    </row>
    <row r="99" spans="1:25" ht="22.5" customHeight="1">
      <c r="A99" s="377"/>
      <c r="B99" s="396"/>
      <c r="C99" s="396"/>
      <c r="D99" s="365">
        <f>B99</f>
        <v>0</v>
      </c>
      <c r="E99" s="396"/>
      <c r="F99" s="399"/>
      <c r="G99" s="396"/>
      <c r="H99" s="396"/>
      <c r="I99" s="396"/>
      <c r="J99" s="396"/>
      <c r="K99" s="396"/>
      <c r="L99" s="396"/>
      <c r="M99" s="396"/>
      <c r="N99" s="394"/>
      <c r="O99" s="383">
        <f t="shared" si="12"/>
        <v>0</v>
      </c>
      <c r="P99" s="382">
        <f t="shared" si="14"/>
        <v>0</v>
      </c>
      <c r="Q99" s="395"/>
      <c r="R99" s="395"/>
      <c r="S99" s="394"/>
      <c r="T99" s="394"/>
      <c r="U99" s="395"/>
      <c r="V99" s="395"/>
      <c r="W99" s="385">
        <f t="shared" si="15"/>
        <v>0</v>
      </c>
      <c r="X99" s="386">
        <f t="shared" si="13"/>
        <v>0</v>
      </c>
    </row>
    <row r="100" spans="1:25" ht="22.5" customHeight="1">
      <c r="A100" s="377"/>
      <c r="B100" s="396"/>
      <c r="C100" s="396"/>
      <c r="D100" s="365">
        <f>B100</f>
        <v>0</v>
      </c>
      <c r="E100" s="396"/>
      <c r="F100" s="399"/>
      <c r="G100" s="396"/>
      <c r="H100" s="396"/>
      <c r="I100" s="396"/>
      <c r="J100" s="396"/>
      <c r="K100" s="396"/>
      <c r="L100" s="396"/>
      <c r="M100" s="396"/>
      <c r="N100" s="394"/>
      <c r="O100" s="383">
        <f t="shared" si="12"/>
        <v>0</v>
      </c>
      <c r="P100" s="382">
        <f t="shared" si="14"/>
        <v>0</v>
      </c>
      <c r="Q100" s="395"/>
      <c r="R100" s="395"/>
      <c r="S100" s="394"/>
      <c r="T100" s="394"/>
      <c r="U100" s="395"/>
      <c r="V100" s="395"/>
      <c r="W100" s="396"/>
      <c r="X100" s="386">
        <f>IF(Y100="X",(N100*10.5%),0)</f>
        <v>0</v>
      </c>
    </row>
    <row r="101" spans="1:25" ht="22.5" customHeight="1">
      <c r="A101" s="396"/>
      <c r="B101" s="396"/>
      <c r="C101" s="396"/>
      <c r="D101" s="365">
        <f>B101</f>
        <v>0</v>
      </c>
      <c r="E101" s="396"/>
      <c r="F101" s="399"/>
      <c r="G101" s="396"/>
      <c r="H101" s="396"/>
      <c r="I101" s="396"/>
      <c r="J101" s="396"/>
      <c r="K101" s="396"/>
      <c r="L101" s="396"/>
      <c r="M101" s="396"/>
      <c r="N101" s="394"/>
      <c r="O101" s="383">
        <f t="shared" si="12"/>
        <v>0</v>
      </c>
      <c r="P101" s="382">
        <f t="shared" si="14"/>
        <v>0</v>
      </c>
      <c r="Q101" s="395"/>
      <c r="R101" s="395"/>
      <c r="S101" s="394"/>
      <c r="T101" s="394"/>
      <c r="U101" s="395"/>
      <c r="V101" s="395"/>
      <c r="W101" s="396"/>
      <c r="X101" s="386">
        <f>IF(Y101="X",(N101*10.5%),0)</f>
        <v>0</v>
      </c>
    </row>
    <row r="102" spans="1:25" ht="22.5" customHeight="1">
      <c r="A102" s="396"/>
      <c r="B102" s="396"/>
      <c r="C102" s="396"/>
      <c r="D102" s="365">
        <f>B102</f>
        <v>0</v>
      </c>
      <c r="E102" s="396"/>
      <c r="F102" s="399"/>
      <c r="G102" s="396"/>
      <c r="H102" s="396"/>
      <c r="I102" s="396"/>
      <c r="J102" s="396"/>
      <c r="K102" s="396"/>
      <c r="L102" s="396"/>
      <c r="M102" s="396"/>
      <c r="N102" s="394"/>
      <c r="O102" s="383">
        <f t="shared" si="12"/>
        <v>0</v>
      </c>
      <c r="P102" s="382">
        <f t="shared" si="14"/>
        <v>0</v>
      </c>
      <c r="Q102" s="395"/>
      <c r="R102" s="395"/>
      <c r="S102" s="394"/>
      <c r="T102" s="394"/>
      <c r="U102" s="395"/>
      <c r="V102" s="395"/>
      <c r="W102" s="396"/>
      <c r="X102" s="386">
        <f>IF(Y102="X",(N102*10.5%),0)</f>
        <v>0</v>
      </c>
    </row>
    <row r="103" spans="1:25" ht="22.5" customHeight="1">
      <c r="A103" s="396"/>
      <c r="B103" s="396"/>
      <c r="C103" s="396"/>
      <c r="D103" s="365">
        <f>B103</f>
        <v>0</v>
      </c>
      <c r="E103" s="396"/>
      <c r="F103" s="399"/>
      <c r="G103" s="396"/>
      <c r="H103" s="396"/>
      <c r="I103" s="396"/>
      <c r="J103" s="396"/>
      <c r="K103" s="396"/>
      <c r="L103" s="396"/>
      <c r="M103" s="396"/>
      <c r="N103" s="394"/>
      <c r="O103" s="383">
        <f t="shared" si="12"/>
        <v>0</v>
      </c>
      <c r="P103" s="382">
        <f t="shared" si="14"/>
        <v>0</v>
      </c>
      <c r="Q103" s="395"/>
      <c r="R103" s="395"/>
      <c r="S103" s="394"/>
      <c r="T103" s="394"/>
      <c r="U103" s="395"/>
      <c r="V103" s="395"/>
      <c r="W103" s="396"/>
      <c r="X103" s="396"/>
    </row>
    <row r="104" spans="1:25" s="434" customFormat="1" ht="22.5" customHeight="1">
      <c r="A104" s="426"/>
      <c r="B104" s="426"/>
      <c r="C104" s="426"/>
      <c r="D104" s="427"/>
      <c r="E104" s="426"/>
      <c r="F104" s="428"/>
      <c r="G104" s="426"/>
      <c r="H104" s="426"/>
      <c r="I104" s="426"/>
      <c r="J104" s="426"/>
      <c r="K104" s="426"/>
      <c r="L104" s="426"/>
      <c r="M104" s="426"/>
      <c r="N104" s="429">
        <f>SUMIF(Y8:Y103,"X",N8:N103)</f>
        <v>351020000</v>
      </c>
      <c r="O104" s="430"/>
      <c r="P104" s="430"/>
      <c r="Q104" s="431"/>
      <c r="R104" s="431"/>
      <c r="S104" s="429"/>
      <c r="T104" s="429"/>
      <c r="U104" s="431"/>
      <c r="V104" s="431"/>
      <c r="W104" s="432">
        <f>SUM(W8:W103)</f>
        <v>75469300</v>
      </c>
      <c r="X104" s="432">
        <f>SUM(X8:X103)</f>
        <v>36857100</v>
      </c>
      <c r="Y104" s="433"/>
    </row>
    <row r="105" spans="1:25" ht="23.25" customHeight="1">
      <c r="M105" s="359" t="s">
        <v>280</v>
      </c>
      <c r="N105" s="436">
        <f>N104*32%</f>
        <v>112326400</v>
      </c>
    </row>
    <row r="106" spans="1:25" ht="23.25" customHeight="1">
      <c r="M106" s="359" t="s">
        <v>281</v>
      </c>
      <c r="N106" s="436">
        <f>N104*2%</f>
        <v>7020400</v>
      </c>
    </row>
    <row r="107" spans="1:25" ht="23.25" customHeight="1">
      <c r="M107" s="359" t="s">
        <v>282</v>
      </c>
      <c r="N107" s="436">
        <f>N106/2</f>
        <v>3510200</v>
      </c>
    </row>
    <row r="108" spans="1:25" ht="23.25" customHeight="1">
      <c r="N108" s="436"/>
    </row>
  </sheetData>
  <autoFilter ref="E7:F104" xr:uid="{00000000-0009-0000-0000-000002000000}"/>
  <dataValidations count="6">
    <dataValidation type="list" allowBlank="1" showInputMessage="1" showErrorMessage="1" sqref="G44" xr:uid="{6A4DD094-3105-4E34-9419-B5C4D68170F0}">
      <formula1>$D$7:$D$11</formula1>
    </dataValidation>
    <dataValidation type="list" allowBlank="1" showInputMessage="1" showErrorMessage="1" sqref="G8:G14 G16:G17 G19:G22" xr:uid="{00000000-0002-0000-0200-000002000000}">
      <formula1>$D$7:$D$26</formula1>
    </dataValidation>
    <dataValidation type="list" allowBlank="1" showInputMessage="1" showErrorMessage="1" sqref="C51" xr:uid="{FAFC184A-0A60-440A-AC21-CEFA6FCB6F14}">
      <formula1>$C$8:$C$12</formula1>
    </dataValidation>
    <dataValidation type="list" allowBlank="1" showInputMessage="1" showErrorMessage="1" sqref="C16 C18 C9:C14 C26:C28" xr:uid="{00000000-0002-0000-0200-000004000000}">
      <formula1>$C$8:$C$28</formula1>
    </dataValidation>
    <dataValidation type="list" allowBlank="1" showInputMessage="1" showErrorMessage="1" sqref="G18 C25 C29:C31 G23:G26 C22 G28:G29 C57" xr:uid="{00000000-0002-0000-0200-000005000000}">
      <formula1>#REF!</formula1>
    </dataValidation>
    <dataValidation type="list" allowBlank="1" showInputMessage="1" showErrorMessage="1" sqref="C55" xr:uid="{933BAA61-A777-4DD4-8A03-1AF1EBE0D66F}">
      <formula1>$C$6:$C$106</formula1>
    </dataValidation>
  </dataValidations>
  <printOptions horizontalCentered="1"/>
  <pageMargins left="0" right="0" top="0" bottom="0" header="0.31496062992126" footer="0.31496062992126"/>
  <pageSetup paperSize="9" scale="74" orientation="portrait" r:id="rId1"/>
  <rowBreaks count="1" manualBreakCount="1">
    <brk id="19" max="12" man="1"/>
  </row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DK500"/>
  <sheetViews>
    <sheetView showZeros="0" zoomScaleNormal="100" workbookViewId="0">
      <pane xSplit="13" ySplit="7" topLeftCell="DB53" activePane="bottomRight" state="frozen"/>
      <selection activeCell="A3" sqref="A3"/>
      <selection pane="topRight" activeCell="K3" sqref="K3"/>
      <selection pane="bottomLeft" activeCell="A8" sqref="A8"/>
      <selection pane="bottomRight" activeCell="M59" sqref="M59"/>
    </sheetView>
  </sheetViews>
  <sheetFormatPr defaultColWidth="9.140625" defaultRowHeight="18.75"/>
  <cols>
    <col min="1" max="1" width="4.7109375" style="155" customWidth="1"/>
    <col min="2" max="2" width="13" style="155" customWidth="1"/>
    <col min="3" max="3" width="26.28515625" style="155" customWidth="1"/>
    <col min="4" max="4" width="17.7109375" style="175" customWidth="1"/>
    <col min="5" max="6" width="7.7109375" style="155" customWidth="1"/>
    <col min="7" max="7" width="8.7109375" style="155" customWidth="1"/>
    <col min="8" max="10" width="7.7109375" style="155" customWidth="1"/>
    <col min="11" max="11" width="11.42578125" style="155" customWidth="1"/>
    <col min="12" max="13" width="7.7109375" style="155" customWidth="1"/>
    <col min="14" max="106" width="5.28515625" style="155" customWidth="1"/>
    <col min="107" max="108" width="9.28515625" style="177" customWidth="1"/>
    <col min="109" max="109" width="9" style="155" customWidth="1"/>
    <col min="110" max="110" width="9.140625" style="155"/>
    <col min="111" max="111" width="0" style="279" hidden="1" customWidth="1"/>
    <col min="112" max="112" width="8.85546875" style="155" customWidth="1"/>
    <col min="113" max="16384" width="9.140625" style="155"/>
  </cols>
  <sheetData>
    <row r="1" spans="1:115" s="150" customFormat="1" ht="15" hidden="1">
      <c r="A1" s="147"/>
      <c r="B1" s="148"/>
      <c r="C1" s="148"/>
      <c r="D1" s="149"/>
      <c r="E1" s="148"/>
      <c r="F1" s="476"/>
      <c r="G1" s="477"/>
      <c r="H1" s="477"/>
      <c r="I1" s="477"/>
      <c r="J1" s="477"/>
      <c r="K1" s="477"/>
      <c r="L1" s="477"/>
      <c r="M1" s="477"/>
      <c r="N1" s="477"/>
      <c r="O1" s="148"/>
      <c r="P1" s="148"/>
      <c r="Q1" s="148"/>
      <c r="R1" s="148"/>
      <c r="S1" s="148"/>
      <c r="T1" s="148"/>
      <c r="U1" s="148"/>
      <c r="V1" s="148"/>
      <c r="W1" s="148"/>
      <c r="X1" s="148"/>
      <c r="Y1" s="148"/>
      <c r="AD1" s="148"/>
      <c r="AE1" s="148"/>
      <c r="AF1" s="148"/>
      <c r="AG1" s="148"/>
      <c r="AH1" s="148"/>
      <c r="AI1" s="148"/>
      <c r="AJ1" s="148"/>
      <c r="AK1" s="148"/>
      <c r="AL1" s="148"/>
      <c r="AM1" s="148"/>
      <c r="AN1" s="148"/>
      <c r="AO1" s="148"/>
      <c r="AP1" s="148"/>
      <c r="AQ1" s="148"/>
      <c r="AR1" s="148"/>
      <c r="AS1" s="148"/>
      <c r="AT1" s="148"/>
      <c r="AU1" s="148"/>
      <c r="AV1" s="148"/>
      <c r="AW1" s="148"/>
      <c r="AX1" s="148"/>
      <c r="AY1" s="148"/>
      <c r="AZ1" s="148"/>
      <c r="BA1" s="148"/>
      <c r="BB1" s="148"/>
      <c r="BC1" s="148"/>
      <c r="BD1" s="148"/>
      <c r="BE1" s="148"/>
      <c r="BF1" s="148"/>
      <c r="BG1" s="148"/>
      <c r="BH1" s="148"/>
      <c r="BI1" s="148"/>
      <c r="BJ1" s="148"/>
      <c r="BK1" s="148"/>
      <c r="BL1" s="148"/>
      <c r="BM1" s="148"/>
      <c r="BN1" s="148"/>
      <c r="BO1" s="148"/>
      <c r="BP1" s="148"/>
      <c r="BQ1" s="148"/>
      <c r="BR1" s="148"/>
      <c r="BS1" s="148"/>
      <c r="BT1" s="148"/>
      <c r="BU1" s="148"/>
      <c r="BV1" s="148"/>
      <c r="BW1" s="148"/>
      <c r="BX1" s="148"/>
      <c r="BY1" s="148"/>
      <c r="BZ1" s="148"/>
      <c r="CA1" s="148"/>
      <c r="CB1" s="148"/>
      <c r="CC1" s="148"/>
      <c r="CD1" s="148"/>
      <c r="CE1" s="148"/>
      <c r="CF1" s="148"/>
      <c r="CG1" s="148"/>
      <c r="CH1" s="148"/>
      <c r="CI1" s="148"/>
      <c r="CJ1" s="148"/>
      <c r="CK1" s="148"/>
      <c r="CL1" s="148"/>
      <c r="CM1" s="148"/>
      <c r="CN1" s="148"/>
      <c r="CO1" s="148"/>
      <c r="CP1" s="148"/>
      <c r="CQ1" s="148"/>
      <c r="CR1" s="148"/>
      <c r="CS1" s="148"/>
      <c r="CT1" s="148"/>
      <c r="CU1" s="148"/>
      <c r="CV1" s="148"/>
      <c r="CW1" s="148"/>
      <c r="CX1" s="148"/>
      <c r="CY1" s="148"/>
      <c r="CZ1" s="148"/>
      <c r="DA1" s="148"/>
      <c r="DB1" s="148"/>
      <c r="DC1" s="151"/>
      <c r="DD1" s="151"/>
      <c r="DE1" s="148"/>
      <c r="DF1" s="148"/>
      <c r="DG1" s="275"/>
    </row>
    <row r="2" spans="1:115" s="150" customFormat="1" ht="15" hidden="1">
      <c r="A2" s="148"/>
      <c r="B2" s="148"/>
      <c r="C2" s="148"/>
      <c r="D2" s="149"/>
      <c r="E2" s="148"/>
      <c r="F2" s="148"/>
      <c r="G2" s="148"/>
      <c r="H2" s="148"/>
      <c r="I2" s="148"/>
      <c r="J2" s="148"/>
      <c r="K2" s="148"/>
      <c r="L2" s="148"/>
      <c r="M2" s="148"/>
      <c r="N2" s="148"/>
      <c r="O2" s="148"/>
      <c r="P2" s="148"/>
      <c r="Q2" s="148"/>
      <c r="R2" s="148"/>
      <c r="S2" s="148"/>
      <c r="T2" s="148"/>
      <c r="U2" s="148"/>
      <c r="V2" s="148"/>
      <c r="W2" s="148"/>
      <c r="X2" s="148"/>
      <c r="Y2" s="148"/>
      <c r="Z2" s="148"/>
      <c r="AA2" s="148"/>
      <c r="AB2" s="148"/>
      <c r="AC2" s="148"/>
      <c r="AD2" s="148"/>
      <c r="AE2" s="148"/>
      <c r="AF2" s="148"/>
      <c r="AG2" s="148"/>
      <c r="AH2" s="148"/>
      <c r="AI2" s="148"/>
      <c r="AJ2" s="148"/>
      <c r="AK2" s="148"/>
      <c r="AL2" s="148"/>
      <c r="AM2" s="148"/>
      <c r="AN2" s="148"/>
      <c r="AO2" s="148"/>
      <c r="AP2" s="148"/>
      <c r="AQ2" s="148"/>
      <c r="AR2" s="148"/>
      <c r="AS2" s="148"/>
      <c r="AT2" s="148"/>
      <c r="AU2" s="148"/>
      <c r="AV2" s="148"/>
      <c r="AW2" s="148"/>
      <c r="AX2" s="148"/>
      <c r="AY2" s="148"/>
      <c r="AZ2" s="148"/>
      <c r="BA2" s="148"/>
      <c r="BB2" s="148"/>
      <c r="BC2" s="148"/>
      <c r="BD2" s="148"/>
      <c r="BE2" s="148"/>
      <c r="BF2" s="148"/>
      <c r="BG2" s="148"/>
      <c r="BH2" s="148"/>
      <c r="BI2" s="148"/>
      <c r="BJ2" s="148"/>
      <c r="BK2" s="148"/>
      <c r="BL2" s="148"/>
      <c r="BM2" s="148"/>
      <c r="BN2" s="148"/>
      <c r="BO2" s="148"/>
      <c r="BP2" s="148"/>
      <c r="BQ2" s="148"/>
      <c r="BR2" s="148"/>
      <c r="BS2" s="148"/>
      <c r="BT2" s="148"/>
      <c r="BU2" s="148"/>
      <c r="BV2" s="148"/>
      <c r="BW2" s="148"/>
      <c r="BX2" s="148"/>
      <c r="BY2" s="148"/>
      <c r="BZ2" s="148"/>
      <c r="CA2" s="148"/>
      <c r="CB2" s="148"/>
      <c r="CC2" s="148"/>
      <c r="CD2" s="148"/>
      <c r="CE2" s="148"/>
      <c r="CF2" s="148"/>
      <c r="CG2" s="148"/>
      <c r="CH2" s="148"/>
      <c r="CI2" s="148"/>
      <c r="CJ2" s="148"/>
      <c r="CK2" s="148"/>
      <c r="CL2" s="148"/>
      <c r="CM2" s="148"/>
      <c r="CN2" s="148"/>
      <c r="CO2" s="148"/>
      <c r="CP2" s="148"/>
      <c r="CQ2" s="148"/>
      <c r="CR2" s="148"/>
      <c r="CS2" s="148"/>
      <c r="CT2" s="148"/>
      <c r="CU2" s="148"/>
      <c r="CV2" s="148"/>
      <c r="CW2" s="148"/>
      <c r="CX2" s="148"/>
      <c r="CY2" s="148"/>
      <c r="CZ2" s="148"/>
      <c r="DA2" s="148"/>
      <c r="DB2" s="148"/>
      <c r="DC2" s="151"/>
      <c r="DD2" s="151"/>
      <c r="DE2" s="148"/>
      <c r="DF2" s="148"/>
      <c r="DG2" s="275"/>
    </row>
    <row r="3" spans="1:115" s="153" customFormat="1" ht="21" customHeight="1">
      <c r="A3" s="478" t="s">
        <v>191</v>
      </c>
      <c r="B3" s="478"/>
      <c r="C3" s="478"/>
      <c r="D3" s="478"/>
      <c r="E3" s="478"/>
      <c r="F3" s="478"/>
      <c r="G3" s="478"/>
      <c r="H3" s="478"/>
      <c r="I3" s="478"/>
      <c r="J3" s="478"/>
      <c r="K3" s="478"/>
      <c r="L3" s="478"/>
      <c r="M3" s="478"/>
      <c r="N3" s="152"/>
      <c r="O3" s="152"/>
      <c r="P3" s="152"/>
      <c r="Q3" s="152"/>
      <c r="R3" s="152"/>
      <c r="S3" s="152"/>
      <c r="T3" s="152"/>
      <c r="U3" s="152"/>
      <c r="V3" s="152"/>
      <c r="W3" s="152"/>
      <c r="X3" s="152"/>
      <c r="Y3" s="152"/>
      <c r="Z3" s="152"/>
      <c r="AA3" s="152"/>
      <c r="AB3" s="152"/>
      <c r="AC3" s="152"/>
      <c r="AD3" s="152"/>
      <c r="AE3" s="152"/>
      <c r="AF3" s="152"/>
      <c r="AG3" s="152"/>
      <c r="AH3" s="152"/>
      <c r="AI3" s="152"/>
      <c r="AJ3" s="152"/>
      <c r="AK3" s="152"/>
      <c r="AL3" s="152"/>
      <c r="AM3" s="152"/>
      <c r="AN3" s="152"/>
      <c r="AO3" s="152"/>
      <c r="AP3" s="152"/>
      <c r="AQ3" s="152"/>
      <c r="AR3" s="152"/>
      <c r="AS3" s="152"/>
      <c r="AT3" s="152"/>
      <c r="AU3" s="152"/>
      <c r="AV3" s="152"/>
      <c r="AW3" s="152"/>
      <c r="AX3" s="152"/>
      <c r="AY3" s="152"/>
      <c r="AZ3" s="152"/>
      <c r="BA3" s="152"/>
      <c r="BB3" s="152"/>
      <c r="BC3" s="152"/>
      <c r="BD3" s="152"/>
      <c r="BE3" s="152"/>
      <c r="BF3" s="152"/>
      <c r="BG3" s="152"/>
      <c r="BH3" s="152"/>
      <c r="BI3" s="152"/>
      <c r="BJ3" s="152"/>
      <c r="BK3" s="152"/>
      <c r="BL3" s="152"/>
      <c r="BM3" s="152"/>
      <c r="BN3" s="152"/>
      <c r="BO3" s="152"/>
      <c r="BP3" s="152"/>
      <c r="BQ3" s="152"/>
      <c r="BR3" s="152"/>
      <c r="BS3" s="152"/>
      <c r="BT3" s="152"/>
      <c r="BU3" s="152"/>
      <c r="BV3" s="152"/>
      <c r="BW3" s="152"/>
      <c r="BX3" s="152"/>
      <c r="BY3" s="152"/>
      <c r="BZ3" s="152"/>
      <c r="CA3" s="152"/>
      <c r="CB3" s="152"/>
      <c r="CC3" s="152"/>
      <c r="CD3" s="152"/>
      <c r="CE3" s="152"/>
      <c r="CF3" s="152"/>
      <c r="CG3" s="152"/>
      <c r="CH3" s="152"/>
      <c r="CI3" s="152"/>
      <c r="CJ3" s="152"/>
      <c r="CK3" s="152"/>
      <c r="CL3" s="152"/>
      <c r="CM3" s="152"/>
      <c r="CN3" s="152"/>
      <c r="CO3" s="152"/>
      <c r="CP3" s="152"/>
      <c r="CQ3" s="152"/>
      <c r="CR3" s="152"/>
      <c r="CS3" s="152"/>
      <c r="CT3" s="152"/>
      <c r="CU3" s="152"/>
      <c r="CV3" s="152"/>
      <c r="CW3" s="152"/>
      <c r="CX3" s="152"/>
      <c r="CY3" s="152"/>
      <c r="CZ3" s="152"/>
      <c r="DA3" s="152"/>
      <c r="DB3" s="152"/>
      <c r="DC3" s="152"/>
      <c r="DD3" s="152"/>
      <c r="DE3" s="152"/>
      <c r="DF3" s="152"/>
      <c r="DG3" s="276"/>
      <c r="DH3" s="152"/>
      <c r="DI3" s="152"/>
      <c r="DJ3" s="152"/>
      <c r="DK3" s="152"/>
    </row>
    <row r="4" spans="1:115" s="153" customFormat="1">
      <c r="A4" s="479" t="s">
        <v>369</v>
      </c>
      <c r="B4" s="479"/>
      <c r="C4" s="479"/>
      <c r="D4" s="479"/>
      <c r="E4" s="479"/>
      <c r="F4" s="479"/>
      <c r="G4" s="479"/>
      <c r="H4" s="479"/>
      <c r="I4" s="479"/>
      <c r="J4" s="479"/>
      <c r="K4" s="479"/>
      <c r="L4" s="479"/>
      <c r="M4" s="479"/>
      <c r="N4" s="152"/>
      <c r="O4" s="152"/>
      <c r="P4" s="152"/>
      <c r="Q4" s="152"/>
      <c r="R4" s="152"/>
      <c r="S4" s="152"/>
      <c r="T4" s="152"/>
      <c r="U4" s="152"/>
      <c r="V4" s="152"/>
      <c r="W4" s="152"/>
      <c r="X4" s="152"/>
      <c r="Y4" s="152"/>
      <c r="Z4" s="152"/>
      <c r="AA4" s="152"/>
      <c r="AB4" s="152"/>
      <c r="AC4" s="152"/>
      <c r="AD4" s="152"/>
      <c r="AE4" s="152"/>
      <c r="AF4" s="152"/>
      <c r="AG4" s="152"/>
      <c r="AH4" s="152"/>
      <c r="AI4" s="152"/>
      <c r="AJ4" s="152"/>
      <c r="AK4" s="152"/>
      <c r="AL4" s="152"/>
      <c r="AM4" s="152"/>
      <c r="AN4" s="152"/>
      <c r="AO4" s="152"/>
      <c r="AP4" s="152"/>
      <c r="AQ4" s="152"/>
      <c r="AR4" s="152"/>
      <c r="AS4" s="152"/>
      <c r="AT4" s="152"/>
      <c r="AU4" s="152"/>
      <c r="AV4" s="152"/>
      <c r="AW4" s="152"/>
      <c r="AX4" s="152"/>
      <c r="AY4" s="152"/>
      <c r="AZ4" s="152"/>
      <c r="BA4" s="152"/>
      <c r="BB4" s="152"/>
      <c r="BC4" s="152"/>
      <c r="BD4" s="152"/>
      <c r="BE4" s="152"/>
      <c r="BF4" s="152"/>
      <c r="BG4" s="152"/>
      <c r="BH4" s="152"/>
      <c r="BI4" s="152"/>
      <c r="BJ4" s="152"/>
      <c r="BK4" s="152"/>
      <c r="BL4" s="152"/>
      <c r="BM4" s="152"/>
      <c r="BN4" s="152"/>
      <c r="BO4" s="152"/>
      <c r="BP4" s="152"/>
      <c r="BQ4" s="152"/>
      <c r="BR4" s="152"/>
      <c r="BS4" s="152"/>
      <c r="BT4" s="152"/>
      <c r="BU4" s="152"/>
      <c r="BV4" s="152"/>
      <c r="BW4" s="152"/>
      <c r="BX4" s="152"/>
      <c r="BY4" s="152"/>
      <c r="BZ4" s="152"/>
      <c r="CA4" s="152"/>
      <c r="CB4" s="152"/>
      <c r="CC4" s="152"/>
      <c r="CD4" s="152"/>
      <c r="CE4" s="152"/>
      <c r="CF4" s="152"/>
      <c r="CG4" s="152"/>
      <c r="CH4" s="152"/>
      <c r="CI4" s="152"/>
      <c r="CJ4" s="152"/>
      <c r="CK4" s="152"/>
      <c r="CL4" s="152"/>
      <c r="CM4" s="152"/>
      <c r="CN4" s="152"/>
      <c r="CO4" s="152"/>
      <c r="CP4" s="152"/>
      <c r="CQ4" s="152"/>
      <c r="CR4" s="152"/>
      <c r="CS4" s="152"/>
      <c r="CT4" s="152"/>
      <c r="CU4" s="152"/>
      <c r="CV4" s="152"/>
      <c r="CW4" s="152"/>
      <c r="CX4" s="152"/>
      <c r="CY4" s="152"/>
      <c r="CZ4" s="152"/>
      <c r="DA4" s="152"/>
      <c r="DB4" s="152"/>
      <c r="DC4" s="152"/>
      <c r="DD4" s="152"/>
      <c r="DE4" s="152"/>
      <c r="DF4" s="152"/>
      <c r="DG4" s="276"/>
      <c r="DH4" s="152"/>
      <c r="DI4" s="152"/>
      <c r="DJ4" s="152"/>
      <c r="DK4" s="152"/>
    </row>
    <row r="5" spans="1:115" ht="12" hidden="1" customHeight="1">
      <c r="A5" s="154"/>
      <c r="B5" s="154"/>
      <c r="C5" s="154"/>
      <c r="D5" s="154"/>
      <c r="E5" s="154"/>
      <c r="F5" s="154"/>
      <c r="G5" s="154"/>
      <c r="H5" s="154"/>
      <c r="I5" s="154"/>
      <c r="J5" s="154"/>
      <c r="K5" s="154"/>
      <c r="L5" s="154"/>
      <c r="M5" s="154"/>
      <c r="N5" s="480"/>
      <c r="O5" s="480"/>
      <c r="P5" s="480"/>
      <c r="Q5" s="480"/>
      <c r="R5" s="480"/>
      <c r="S5" s="480"/>
      <c r="T5" s="480"/>
      <c r="U5" s="480"/>
      <c r="V5" s="480"/>
      <c r="W5" s="480"/>
      <c r="X5" s="480"/>
      <c r="Y5" s="480"/>
      <c r="Z5" s="480"/>
      <c r="AA5" s="480"/>
      <c r="AB5" s="480"/>
      <c r="AC5" s="480"/>
      <c r="AD5" s="480"/>
      <c r="AE5" s="480"/>
      <c r="AF5" s="480"/>
      <c r="AG5" s="480"/>
      <c r="AH5" s="480"/>
      <c r="AI5" s="480"/>
      <c r="AJ5" s="480"/>
      <c r="AK5" s="480"/>
      <c r="AL5" s="480"/>
      <c r="AM5" s="480"/>
      <c r="AN5" s="480"/>
      <c r="AO5" s="480"/>
      <c r="AP5" s="480"/>
      <c r="AQ5" s="480"/>
      <c r="AR5" s="480"/>
      <c r="AS5" s="480"/>
      <c r="AT5" s="480"/>
      <c r="AU5" s="480"/>
      <c r="AV5" s="480"/>
      <c r="AW5" s="480"/>
      <c r="AX5" s="480"/>
      <c r="AY5" s="480"/>
      <c r="AZ5" s="480"/>
      <c r="BA5" s="480"/>
      <c r="BB5" s="480"/>
      <c r="BC5" s="480"/>
      <c r="BD5" s="480"/>
      <c r="BE5" s="480"/>
      <c r="BF5" s="480"/>
      <c r="BG5" s="480"/>
      <c r="BH5" s="480"/>
      <c r="BI5" s="480"/>
      <c r="BJ5" s="480"/>
      <c r="BK5" s="480"/>
      <c r="BL5" s="480"/>
      <c r="BM5" s="480"/>
      <c r="BN5" s="480"/>
      <c r="BO5" s="480"/>
      <c r="BP5" s="480"/>
      <c r="BQ5" s="480"/>
      <c r="BR5" s="480"/>
      <c r="BS5" s="480"/>
      <c r="BT5" s="480"/>
      <c r="BU5" s="480"/>
      <c r="BV5" s="480"/>
      <c r="BW5" s="480"/>
      <c r="BX5" s="480"/>
      <c r="BY5" s="480"/>
      <c r="BZ5" s="480"/>
      <c r="CA5" s="480"/>
      <c r="CB5" s="480"/>
      <c r="CC5" s="480"/>
      <c r="CD5" s="480"/>
      <c r="CE5" s="480"/>
      <c r="CF5" s="480"/>
      <c r="CG5" s="480"/>
      <c r="CH5" s="480"/>
      <c r="CI5" s="480"/>
      <c r="CJ5" s="480"/>
      <c r="CK5" s="480"/>
      <c r="CL5" s="480"/>
      <c r="CM5" s="480"/>
      <c r="CN5" s="480"/>
      <c r="CO5" s="480"/>
      <c r="CP5" s="480"/>
      <c r="CQ5" s="480"/>
      <c r="CR5" s="480"/>
      <c r="CS5" s="480"/>
      <c r="CT5" s="480"/>
      <c r="CU5" s="480"/>
      <c r="CV5" s="480"/>
      <c r="CW5" s="480"/>
      <c r="CX5" s="480"/>
      <c r="CY5" s="480"/>
      <c r="CZ5" s="480"/>
      <c r="DA5" s="480"/>
      <c r="DB5" s="480"/>
      <c r="DC5" s="154"/>
      <c r="DD5" s="154"/>
      <c r="DE5" s="154"/>
      <c r="DF5" s="154"/>
      <c r="DG5" s="277"/>
    </row>
    <row r="6" spans="1:115" s="157" customFormat="1" ht="24" customHeight="1">
      <c r="A6" s="484" t="s">
        <v>7</v>
      </c>
      <c r="B6" s="484" t="s">
        <v>8</v>
      </c>
      <c r="C6" s="484" t="s">
        <v>84</v>
      </c>
      <c r="D6" s="485" t="s">
        <v>11</v>
      </c>
      <c r="E6" s="481" t="s">
        <v>192</v>
      </c>
      <c r="F6" s="482"/>
      <c r="G6" s="483"/>
      <c r="H6" s="481" t="s">
        <v>193</v>
      </c>
      <c r="I6" s="482"/>
      <c r="J6" s="483"/>
      <c r="K6" s="488" t="s">
        <v>194</v>
      </c>
      <c r="L6" s="489" t="s">
        <v>116</v>
      </c>
      <c r="M6" s="490" t="s">
        <v>62</v>
      </c>
      <c r="N6" s="487">
        <v>46097</v>
      </c>
      <c r="O6" s="487"/>
      <c r="P6" s="487"/>
      <c r="Q6" s="487">
        <v>46098</v>
      </c>
      <c r="R6" s="487"/>
      <c r="S6" s="487"/>
      <c r="T6" s="487">
        <v>46099</v>
      </c>
      <c r="U6" s="487"/>
      <c r="V6" s="487"/>
      <c r="W6" s="487">
        <v>46100</v>
      </c>
      <c r="X6" s="487"/>
      <c r="Y6" s="487"/>
      <c r="Z6" s="487">
        <v>46101</v>
      </c>
      <c r="AA6" s="487"/>
      <c r="AB6" s="487"/>
      <c r="AC6" s="487">
        <v>46102</v>
      </c>
      <c r="AD6" s="487"/>
      <c r="AE6" s="487"/>
      <c r="AF6" s="487">
        <v>46103</v>
      </c>
      <c r="AG6" s="487"/>
      <c r="AH6" s="487"/>
      <c r="AI6" s="487">
        <v>46104</v>
      </c>
      <c r="AJ6" s="487"/>
      <c r="AK6" s="487"/>
      <c r="AL6" s="487">
        <v>46105</v>
      </c>
      <c r="AM6" s="487"/>
      <c r="AN6" s="487"/>
      <c r="AO6" s="487">
        <v>46106</v>
      </c>
      <c r="AP6" s="487"/>
      <c r="AQ6" s="487"/>
      <c r="AR6" s="487">
        <v>46107</v>
      </c>
      <c r="AS6" s="487"/>
      <c r="AT6" s="487"/>
      <c r="AU6" s="487">
        <v>46108</v>
      </c>
      <c r="AV6" s="487"/>
      <c r="AW6" s="487"/>
      <c r="AX6" s="487">
        <v>46109</v>
      </c>
      <c r="AY6" s="487"/>
      <c r="AZ6" s="487"/>
      <c r="BA6" s="487">
        <v>46110</v>
      </c>
      <c r="BB6" s="487"/>
      <c r="BC6" s="487"/>
      <c r="BD6" s="487">
        <v>46111</v>
      </c>
      <c r="BE6" s="487"/>
      <c r="BF6" s="487"/>
      <c r="BG6" s="487">
        <v>46112</v>
      </c>
      <c r="BH6" s="487"/>
      <c r="BI6" s="487"/>
      <c r="BJ6" s="487">
        <v>46113</v>
      </c>
      <c r="BK6" s="487"/>
      <c r="BL6" s="487"/>
      <c r="BM6" s="487">
        <v>46114</v>
      </c>
      <c r="BN6" s="487"/>
      <c r="BO6" s="487"/>
      <c r="BP6" s="487">
        <v>46115</v>
      </c>
      <c r="BQ6" s="487"/>
      <c r="BR6" s="487"/>
      <c r="BS6" s="487">
        <v>46116</v>
      </c>
      <c r="BT6" s="487"/>
      <c r="BU6" s="487"/>
      <c r="BV6" s="487">
        <v>46117</v>
      </c>
      <c r="BW6" s="487"/>
      <c r="BX6" s="487"/>
      <c r="BY6" s="487">
        <v>46118</v>
      </c>
      <c r="BZ6" s="487"/>
      <c r="CA6" s="487"/>
      <c r="CB6" s="487">
        <v>46119</v>
      </c>
      <c r="CC6" s="487"/>
      <c r="CD6" s="487"/>
      <c r="CE6" s="487">
        <v>46120</v>
      </c>
      <c r="CF6" s="487"/>
      <c r="CG6" s="487"/>
      <c r="CH6" s="487">
        <v>46121</v>
      </c>
      <c r="CI6" s="487"/>
      <c r="CJ6" s="487"/>
      <c r="CK6" s="487">
        <v>46122</v>
      </c>
      <c r="CL6" s="487"/>
      <c r="CM6" s="487"/>
      <c r="CN6" s="487">
        <v>46123</v>
      </c>
      <c r="CO6" s="487"/>
      <c r="CP6" s="487"/>
      <c r="CQ6" s="487">
        <v>46124</v>
      </c>
      <c r="CR6" s="487"/>
      <c r="CS6" s="487"/>
      <c r="CT6" s="487">
        <v>46125</v>
      </c>
      <c r="CU6" s="487"/>
      <c r="CV6" s="487"/>
      <c r="CW6" s="487">
        <v>46126</v>
      </c>
      <c r="CX6" s="487"/>
      <c r="CY6" s="487"/>
      <c r="CZ6" s="487">
        <v>46127</v>
      </c>
      <c r="DA6" s="487"/>
      <c r="DB6" s="487"/>
      <c r="DC6" s="498" t="s">
        <v>195</v>
      </c>
      <c r="DD6" s="498" t="s">
        <v>196</v>
      </c>
      <c r="DE6" s="491" t="s">
        <v>197</v>
      </c>
      <c r="DF6" s="493" t="s">
        <v>198</v>
      </c>
      <c r="DG6" s="495"/>
      <c r="DH6" s="496"/>
    </row>
    <row r="7" spans="1:115" s="157" customFormat="1" ht="72" customHeight="1">
      <c r="A7" s="484"/>
      <c r="B7" s="484"/>
      <c r="C7" s="484"/>
      <c r="D7" s="486"/>
      <c r="E7" s="158" t="s">
        <v>199</v>
      </c>
      <c r="F7" s="159" t="s">
        <v>200</v>
      </c>
      <c r="G7" s="160" t="s">
        <v>60</v>
      </c>
      <c r="H7" s="158" t="s">
        <v>201</v>
      </c>
      <c r="I7" s="159" t="s">
        <v>202</v>
      </c>
      <c r="J7" s="160" t="s">
        <v>203</v>
      </c>
      <c r="K7" s="488"/>
      <c r="L7" s="489"/>
      <c r="M7" s="490"/>
      <c r="N7" s="161" t="s">
        <v>204</v>
      </c>
      <c r="O7" s="162" t="s">
        <v>205</v>
      </c>
      <c r="P7" s="156" t="s">
        <v>20</v>
      </c>
      <c r="Q7" s="161" t="s">
        <v>204</v>
      </c>
      <c r="R7" s="162" t="s">
        <v>205</v>
      </c>
      <c r="S7" s="156" t="s">
        <v>20</v>
      </c>
      <c r="T7" s="161" t="s">
        <v>204</v>
      </c>
      <c r="U7" s="162" t="s">
        <v>205</v>
      </c>
      <c r="V7" s="156" t="s">
        <v>20</v>
      </c>
      <c r="W7" s="161" t="s">
        <v>204</v>
      </c>
      <c r="X7" s="162" t="s">
        <v>205</v>
      </c>
      <c r="Y7" s="156" t="s">
        <v>20</v>
      </c>
      <c r="Z7" s="161" t="s">
        <v>204</v>
      </c>
      <c r="AA7" s="162" t="s">
        <v>205</v>
      </c>
      <c r="AB7" s="156" t="s">
        <v>20</v>
      </c>
      <c r="AC7" s="161" t="s">
        <v>204</v>
      </c>
      <c r="AD7" s="162" t="s">
        <v>205</v>
      </c>
      <c r="AE7" s="156" t="s">
        <v>20</v>
      </c>
      <c r="AF7" s="161" t="s">
        <v>204</v>
      </c>
      <c r="AG7" s="162" t="s">
        <v>205</v>
      </c>
      <c r="AH7" s="156" t="s">
        <v>20</v>
      </c>
      <c r="AI7" s="161" t="s">
        <v>204</v>
      </c>
      <c r="AJ7" s="162" t="s">
        <v>205</v>
      </c>
      <c r="AK7" s="156" t="s">
        <v>20</v>
      </c>
      <c r="AL7" s="161" t="s">
        <v>204</v>
      </c>
      <c r="AM7" s="162" t="s">
        <v>205</v>
      </c>
      <c r="AN7" s="156" t="s">
        <v>20</v>
      </c>
      <c r="AO7" s="161" t="s">
        <v>204</v>
      </c>
      <c r="AP7" s="162" t="s">
        <v>205</v>
      </c>
      <c r="AQ7" s="156" t="s">
        <v>20</v>
      </c>
      <c r="AR7" s="161" t="s">
        <v>204</v>
      </c>
      <c r="AS7" s="162" t="s">
        <v>205</v>
      </c>
      <c r="AT7" s="156" t="s">
        <v>20</v>
      </c>
      <c r="AU7" s="161" t="s">
        <v>204</v>
      </c>
      <c r="AV7" s="162" t="s">
        <v>205</v>
      </c>
      <c r="AW7" s="156" t="s">
        <v>20</v>
      </c>
      <c r="AX7" s="161" t="s">
        <v>204</v>
      </c>
      <c r="AY7" s="162" t="s">
        <v>205</v>
      </c>
      <c r="AZ7" s="156" t="s">
        <v>20</v>
      </c>
      <c r="BA7" s="161" t="s">
        <v>204</v>
      </c>
      <c r="BB7" s="162" t="s">
        <v>205</v>
      </c>
      <c r="BC7" s="156" t="s">
        <v>20</v>
      </c>
      <c r="BD7" s="161" t="s">
        <v>204</v>
      </c>
      <c r="BE7" s="162" t="s">
        <v>205</v>
      </c>
      <c r="BF7" s="156" t="s">
        <v>20</v>
      </c>
      <c r="BG7" s="161" t="s">
        <v>204</v>
      </c>
      <c r="BH7" s="162" t="s">
        <v>205</v>
      </c>
      <c r="BI7" s="156" t="s">
        <v>20</v>
      </c>
      <c r="BJ7" s="161" t="s">
        <v>204</v>
      </c>
      <c r="BK7" s="162" t="s">
        <v>205</v>
      </c>
      <c r="BL7" s="156" t="s">
        <v>20</v>
      </c>
      <c r="BM7" s="161" t="s">
        <v>204</v>
      </c>
      <c r="BN7" s="162" t="s">
        <v>205</v>
      </c>
      <c r="BO7" s="156" t="s">
        <v>20</v>
      </c>
      <c r="BP7" s="161" t="s">
        <v>204</v>
      </c>
      <c r="BQ7" s="162" t="s">
        <v>205</v>
      </c>
      <c r="BR7" s="156" t="s">
        <v>20</v>
      </c>
      <c r="BS7" s="161" t="s">
        <v>204</v>
      </c>
      <c r="BT7" s="162" t="s">
        <v>205</v>
      </c>
      <c r="BU7" s="156" t="s">
        <v>20</v>
      </c>
      <c r="BV7" s="161" t="s">
        <v>204</v>
      </c>
      <c r="BW7" s="162" t="s">
        <v>205</v>
      </c>
      <c r="BX7" s="156" t="s">
        <v>20</v>
      </c>
      <c r="BY7" s="161" t="s">
        <v>204</v>
      </c>
      <c r="BZ7" s="162" t="s">
        <v>205</v>
      </c>
      <c r="CA7" s="156" t="s">
        <v>20</v>
      </c>
      <c r="CB7" s="161" t="s">
        <v>204</v>
      </c>
      <c r="CC7" s="162" t="s">
        <v>205</v>
      </c>
      <c r="CD7" s="156" t="s">
        <v>20</v>
      </c>
      <c r="CE7" s="161" t="s">
        <v>204</v>
      </c>
      <c r="CF7" s="162" t="s">
        <v>205</v>
      </c>
      <c r="CG7" s="156" t="s">
        <v>20</v>
      </c>
      <c r="CH7" s="161" t="s">
        <v>204</v>
      </c>
      <c r="CI7" s="162" t="s">
        <v>205</v>
      </c>
      <c r="CJ7" s="156" t="s">
        <v>20</v>
      </c>
      <c r="CK7" s="161" t="s">
        <v>204</v>
      </c>
      <c r="CL7" s="162" t="s">
        <v>205</v>
      </c>
      <c r="CM7" s="156" t="s">
        <v>20</v>
      </c>
      <c r="CN7" s="161" t="s">
        <v>204</v>
      </c>
      <c r="CO7" s="162" t="s">
        <v>205</v>
      </c>
      <c r="CP7" s="156" t="s">
        <v>20</v>
      </c>
      <c r="CQ7" s="161" t="s">
        <v>204</v>
      </c>
      <c r="CR7" s="162" t="s">
        <v>205</v>
      </c>
      <c r="CS7" s="156" t="s">
        <v>20</v>
      </c>
      <c r="CT7" s="161" t="s">
        <v>204</v>
      </c>
      <c r="CU7" s="162" t="s">
        <v>205</v>
      </c>
      <c r="CV7" s="156" t="s">
        <v>20</v>
      </c>
      <c r="CW7" s="161" t="s">
        <v>204</v>
      </c>
      <c r="CX7" s="162" t="s">
        <v>205</v>
      </c>
      <c r="CY7" s="156" t="s">
        <v>20</v>
      </c>
      <c r="CZ7" s="161" t="s">
        <v>204</v>
      </c>
      <c r="DA7" s="162" t="s">
        <v>205</v>
      </c>
      <c r="DB7" s="156" t="s">
        <v>20</v>
      </c>
      <c r="DC7" s="498"/>
      <c r="DD7" s="498"/>
      <c r="DE7" s="492"/>
      <c r="DF7" s="494"/>
      <c r="DG7" s="495"/>
      <c r="DH7" s="497"/>
    </row>
    <row r="8" spans="1:115" s="28" customFormat="1" ht="24.75" customHeight="1">
      <c r="A8" s="257">
        <f>'Danh muc'!A8</f>
        <v>1</v>
      </c>
      <c r="B8" s="258">
        <f>'Danh muc'!B8</f>
        <v>15110600</v>
      </c>
      <c r="C8" s="259" t="str">
        <f>'Danh muc'!C8</f>
        <v>Nguyễn Được Thưởng</v>
      </c>
      <c r="D8" s="258" t="str">
        <f>'Danh muc'!E8</f>
        <v>Quản lý sản xuất</v>
      </c>
      <c r="E8" s="202">
        <f>IF(OR(N8="LN",N8&lt;=1),0,N8)+IF(OR(Q8="LN",Q8&lt;=1),0,Q8)+IF(OR(T8="LN",T8&lt;=1),0,T8)+IF(OR(W8="LN",W8&lt;=1),0,W8)+IF(OR(Z8="LN",Z8&lt;=1),0,Z8)+IF(OR(AC8="LN",AC8&lt;=1),0,AC8)+IF(OR(AF8="LN",AF8&lt;=1),0,AF8)+IF(OR(AI8="LN",AI8&lt;=1),0,AI8)+IF(OR(AL8="LN",AL8&lt;=1),0,AL8)+IF(OR(AO8="LN",AO8&lt;=1),0,AO8)+IF(OR(AR8="LN",AR8&lt;=1),0,AR8)+IF(OR(AU8="LN",AU8&lt;=1),0,AU8)+IF(OR(AX8="LN",AX8&lt;=1),0,AX8)+IF(OR(BA8="LN",BA8&lt;=1),0,BA8)+IF(OR(BD8="LN",BD8&lt;=1),0,BD8)+IF(OR(BG8="LN",BG8&lt;=1),0,BG8)+IF(OR(BJ8="LN",BJ8&lt;=1),0,BJ8)+IF(OR(BM8="LN",BM8&lt;=1),0,BM8)+IF(OR(BP8="LN",BP8&lt;=1),0,BP8)+IF(OR(BS8="LN",BS8&lt;=1),0,BS8)+IF(OR(BV8="LN",BV8&lt;=1),0,BV8)+IF(OR(BY8="LN",BY8&lt;=1),0,BY8)+IF(OR(CB8="LN",CB8&lt;=1),0,CB8)+IF(OR(CE8="LN",CE8&lt;=1),0,CE8)+IF(OR(CH8="LN",CH8&lt;=1),0,CH8)+IF(OR(CK8="LN",CK8&lt;=1),0,CK8)+IF(OR(CN8="LN",CN8&lt;=1),0,CN8)+IF(OR(CQ8="LN",CQ8&lt;=1),0,CQ8)+IF(OR(CT8="LN",CT8&lt;=1),0,CT8)+IF(OR(CW8="LN",CW8&lt;=1),0,CW8)+IF(OR(CZ8="LN",CZ8&lt;=1),0,CZ8)</f>
        <v>0</v>
      </c>
      <c r="F8" s="202">
        <f>IF(OR(O8="TC",O8&lt;=1),0,O8)+IF(OR(R8="TC",R8&lt;=1),0,R8)+IF(OR(U8="TC",U8&lt;=1),0,U8)+IF(OR(X8="TC",X8&lt;=1),0,X8)+IF(OR(AA8="TC",AA8&lt;=1),0,AA8)+IF(OR(AD8="TC",AD8&lt;=1),0,AD8)+IF(OR(AG8="TC",AG8&lt;=1),0,AG8)+IF(OR(AJ8="TC",AJ8&lt;=1),0,AJ8)+IF(OR(AM8="TC",AM8&lt;=1),0,AM8)+IF(OR(AP8="TC",AP8&lt;=1),0,AP8)+IF(OR(AS8="TC",AS8&lt;=1),0,AS8)+IF(OR(AV8="TC",AV8&lt;=1),0,AV8)+IF(OR(AY8="TC",AY8&lt;=1),0,AY8)+IF(OR(BB8="TC",BB8&lt;=1),0,BB8)+IF(OR(BE8="TC",BE8&lt;=1),0,BE8)+IF(OR(BH8="TC",BH8&lt;=1),0,BH8)+IF(OR(BK8="TC",BK8&lt;=1),0,BK8)+IF(OR(BN8="TC",BN8&lt;=1),0,BN8)+IF(OR(BQ8="TC",BQ8&lt;=1),0,BQ8)+IF(OR(BT8="TC",BT8&lt;=1),0,BT8)+IF(OR(BW8="TC",BW8&lt;=1),0,BW8)+IF(OR(BZ8="TC",BZ8&lt;=1),0,BZ8)+IF(OR(CC8="TC",CC8&lt;=1),0,CC8)+IF(OR(CF8="TC",CF8&lt;=1),0,CF8)+IF(OR(CI8="TC",CI8&lt;=1),0,CI8)+IF(OR(CL8="TC",CL8&lt;=1),0,CL8)+IF(OR(CO8="TC",CO8&lt;=1),0,CO8)+IF(OR(CR8="TC",CR8&lt;=1),0,CR8)+IF(OR(CU8="TC",CU8&lt;=1),0,CU8)+IF(OR(CX8="TC",CX8&lt;=1),0,CX8)+IF(OR(DA8="TC",DA8&lt;=1),0,DA8)</f>
        <v>0</v>
      </c>
      <c r="G8" s="202">
        <f>P8+S8+V8+Y8+AB8+AE8+AH8+AK8+AN8+AQ8+AT8+AW8+AZ8+BC8+BF8+BI8+BL8+BO8+BR8+BU8+BX8+CA8+CD8+CG8+CJ8+CM8+CP8+CS8+CV8+CY8+DB8</f>
        <v>0</v>
      </c>
      <c r="H8" s="203">
        <f>IF(N8&lt;=1,N8,0)+IF(Q8&lt;=1,Q8,0)+IF(T8&lt;=1,T8,0)+IF(W8&lt;=1,W8,0)+IF(Z8&lt;=1,Z8,0)+IF(AC8&lt;=1,AC8,0)+IF(AF8&lt;=1,AF8,0)+IF(AI8&lt;=1,AI8,0)+IF(AL8&lt;=1,AL8,0)+IF(AO8&lt;=1,AO8,0)+IF(AR8&lt;=1,AR8,0)+IF(AU8&lt;=1,AU8,0)+IF(AX8&lt;=1,AX8,0)+IF(BA8&lt;=1,BA8,0)+IF(BD8&lt;=1,BD8,0)+IF(BG8&lt;=1,BG8,0)+IF(BJ8&lt;=1,BJ8,0)+IF(BM8&lt;=1,BM8,0)+IF(BP8&lt;=1,BP8,0)+IF(BS8&lt;=1,BS8,0)+IF(BV8&lt;=1,BV8,0)+IF(BY8&lt;=1,BY8,0)+IF(CB8&lt;=1,CB8,0)+IF(CE8&lt;=1,CE8,0)+IF(CH8&lt;=1,CH8,0)+IF(CK8&lt;=1,CK8,0)+IF(CN8&lt;=1,CN8,0)+IF(CQ8&lt;=1,CQ8,0)+IF(CT8&lt;=1,CT8,0)+IF(CW8&lt;=1,CW8,0)+IF(CZ8&lt;=1,CZ8,0)</f>
        <v>0</v>
      </c>
      <c r="I8" s="204">
        <f>IF(O8&lt;=1,O8,0)+IF(R8&lt;=1,R8,0)+IF(U8&lt;=1,U8,0)+IF(X8&lt;=1,X8,0)+IF(AA8&lt;=1,AA8,0)+IF(AD8&lt;=1,AD8,0)+IF(AG8&lt;=1,AG8,0)+IF(AJ8&lt;=1,AJ8,0)+IF(AM8&lt;=1,AM8,0)+IF(AP8&lt;=1,AP8,0)+IF(AS8&lt;=1,AS8,0)+IF(AV8&lt;=1,AV8,0)+IF(AY8&lt;=1,AY8,0)+IF(BB8&lt;=1,BB8,0)+IF(BE8&lt;=1,BE8,0)+IF(BH8&lt;=1,BH8,0)+IF(BK8&lt;=1,BK8,0)+IF(BN8&lt;=1,BN8,0)+IF(BQ8&lt;=1,BQ8,0)+IF(BT8&lt;=1,BT8,0)+IF(BW8&lt;=1,BW8,0)+IF(BZ8&lt;=1,BZ8,0)+IF(CC8&lt;=1,CC8,0)+IF(CF8&lt;=1,CF8,0)+IF(CI8&lt;=1,CI8,0)+IF(CL8&lt;=1,CL8,0)+IF(CO8&lt;=1,CO8,0)+IF(CR8&lt;=1,CR8,0)+IF(CU8&lt;=1,CU8,0)+IF(CX8&lt;=1,CX8,0)+IF(DA8&lt;=1,DA8,0)</f>
        <v>0</v>
      </c>
      <c r="J8" s="203">
        <f>IF(N8=1,P8,0)+IF(Q8=1,S8,0)+IF(T8=1,V8,0)+IF(W8=1,Y8,0)+IF(Z8=1,AB8,0)+IF(AC8=1,AE8,0)+IF(AF8=1,AH8,0)+IF(AI8=1,AK8,0)+IF(AL8=1,AN8,0)+IF(AO8=1,AQ8,0)+IF(AR8=1,AT8,0)+IF(AU8=1,AW8,0)+IF(AX8=1,AZ8,0)+IF(BA8=1,BC8,0)+IF(BD8=1,BF8,0)+IF(BG8=1,BI8,0)+IF(BJ8=1,BL8,0)+IF(BM8=1,BO8,0)+IF(BP8=1,BR8,0)+IF(BS8=1,BU8,0)+IF(BV8=1,BX8,0)+IF(BY8=1,CA8,0)+IF(CB8=1,CD8,0)+IF(CE8=1,CG8,0)+IF(CH8=1,CJ8,0)+IF(CK8=1,CM8,0)+IF(CN8=1,CP8,0)+IF(CQ8=1,CS8,0)+IF(CT8=1,CV8,0)+IF(CW8=1,CY8,0)+IF(CZ8=1,DB8,0)</f>
        <v>0</v>
      </c>
      <c r="K8" s="205">
        <f>IF(N8&gt;=5,1,0)+IF(Q8&gt;=5,1,0)+IF(T8&gt;=5,1,0)+IF(W8&gt;=5,1,0)+IF(Z8&gt;=5,1,0)+IF(AC8&gt;=5,1,0)+IF(AF8&gt;=5,1,0)+IF(AI8&gt;=5,1,0)+IF(AL8&gt;=5,1,0)+IF(AO8&gt;=5,1,0)+IF(AR8&gt;=5,1,0)+IF(AU8&gt;=5,1,0)+IF(AX8&gt;=5,1,0)+IF(BA8&gt;=5,1,0)+IF(BD8&gt;=5,1,0)+IF(BG8&gt;=5,1,0)+IF(BJ8&gt;=5,1,0)+IF(BM8&gt;=5,1,0)+IF(BP8&gt;=5,1,0)+IF(BS8&gt;=5,1,0)+IF(BV8&gt;=5,1,0)+IF(BY8&gt;=5,1,0)+IF(CB8&gt;=5,1,0)+IF(CE8&gt;=5,1,0)+IF(CH8&gt;=5,1,0)+IF(CK8&gt;=5,1,0)+IF(CN8&gt;=5,1,0)+IF(CQ8&gt;=5,1,0)+IF(CT8&gt;=5,1,0)+IF(CW8&gt;=5,1,0)+IF(CZ8&gt;=5,1,0)</f>
        <v>0</v>
      </c>
      <c r="L8" s="206">
        <f>IF(O8&gt;=8,1,0)+IF(R8&gt;=8,1,0)+IF(U8&gt;=8,1,0)+IF(X8&gt;=8,1,0)+IF(AA8&gt;=8,1,0)+IF(AD8&gt;=8,1,0)+IF(AG8&gt;=8,1,0)+IF(AJ8&gt;=8,1,0)+IF(AM8&gt;=8,1,0)+IF(AP8&gt;=8,1,0)+IF(AS8&gt;=8,1,0)+IF(AV8&gt;=8,1,0)+IF(AY8&gt;=8,1,0)+IF(BB8&gt;=8,1,0)+IF(BE8&gt;=8,1,0)+IF(BH8&gt;=8,1,0)+IF(BK8&gt;=8,1,0)+IF(BN8&gt;=8,1,0)+IF(BQ8&gt;=8,1,0)+IF(BT8&gt;=8,1,0)+IF(BW8&gt;=8,1,0)+IF(BZ8&gt;=8,1,0)+IF(CC8&gt;=8,1,0)+IF(CF8&gt;=8,1,0)+IF(CI8&gt;=8,1,0)+IF(CL8&gt;=8,1,0)+IF(CO8&gt;=8,1,0)+IF(CR8&gt;=8,1,0)+IF(CU8&gt;=8,1,0)+IF(CX8&gt;=8,1,0)+IF(DA8&gt;=8,1,0)</f>
        <v>0</v>
      </c>
      <c r="M8" s="207">
        <f>COUNTIF(N8:DB8,8)+COUNTIF(N8:DB8,8.25)+COUNTIF(N8:DB8,8.5)+COUNTIF(N8:DB8,8.75)+COUNTIF(N8:DB8,9)+COUNTIF(N8:DB8,9.25)+COUNTIF(N8:DB8,9.5)+COUNTIF(N8:DB8,9.75)+COUNTIF(N8:DB8,10)+COUNTIF(N8:DB8,10.25)+COUNTIF(N8:DB8,10.5)+COUNTIF(N8:DB8,10.75)+COUNTIF(N8:DB8,11)+COUNTIF(N8:DB8,11.25)+COUNTIF(N8:DB8,11.5)+COUNTIF(N8:DB8,11.75)+COUNTIF(N8:DB8,12)</f>
        <v>0</v>
      </c>
      <c r="N8" s="336"/>
      <c r="O8" s="336"/>
      <c r="P8" s="337"/>
      <c r="Q8" s="338"/>
      <c r="R8" s="338"/>
      <c r="S8" s="339"/>
      <c r="T8" s="336"/>
      <c r="U8" s="336"/>
      <c r="V8" s="337"/>
      <c r="W8" s="338"/>
      <c r="X8" s="338"/>
      <c r="Y8" s="339"/>
      <c r="Z8" s="336"/>
      <c r="AA8" s="336"/>
      <c r="AB8" s="337"/>
      <c r="AC8" s="338"/>
      <c r="AD8" s="338"/>
      <c r="AE8" s="339"/>
      <c r="AF8" s="336"/>
      <c r="AG8" s="336"/>
      <c r="AH8" s="337"/>
      <c r="AI8" s="338"/>
      <c r="AJ8" s="338"/>
      <c r="AK8" s="339"/>
      <c r="AL8" s="336"/>
      <c r="AM8" s="336"/>
      <c r="AN8" s="337"/>
      <c r="AO8" s="338"/>
      <c r="AP8" s="338"/>
      <c r="AQ8" s="339"/>
      <c r="AR8" s="336"/>
      <c r="AS8" s="336"/>
      <c r="AT8" s="337"/>
      <c r="AU8" s="338"/>
      <c r="AV8" s="338"/>
      <c r="AW8" s="339"/>
      <c r="AX8" s="336"/>
      <c r="AY8" s="336"/>
      <c r="AZ8" s="337"/>
      <c r="BA8" s="338"/>
      <c r="BB8" s="338"/>
      <c r="BC8" s="339"/>
      <c r="BD8" s="336"/>
      <c r="BE8" s="336"/>
      <c r="BF8" s="337"/>
      <c r="BG8" s="338"/>
      <c r="BH8" s="338"/>
      <c r="BI8" s="339"/>
      <c r="BJ8" s="336"/>
      <c r="BK8" s="336"/>
      <c r="BL8" s="337"/>
      <c r="BM8" s="338"/>
      <c r="BN8" s="338"/>
      <c r="BO8" s="339"/>
      <c r="BP8" s="336"/>
      <c r="BQ8" s="336"/>
      <c r="BR8" s="337"/>
      <c r="BS8" s="338"/>
      <c r="BT8" s="338"/>
      <c r="BU8" s="339"/>
      <c r="BV8" s="336"/>
      <c r="BW8" s="336"/>
      <c r="BX8" s="337"/>
      <c r="BY8" s="338"/>
      <c r="BZ8" s="338"/>
      <c r="CA8" s="339"/>
      <c r="CB8" s="336"/>
      <c r="CC8" s="336"/>
      <c r="CD8" s="337"/>
      <c r="CE8" s="338"/>
      <c r="CF8" s="338"/>
      <c r="CG8" s="339"/>
      <c r="CH8" s="336"/>
      <c r="CI8" s="336"/>
      <c r="CJ8" s="337"/>
      <c r="CK8" s="338"/>
      <c r="CL8" s="338"/>
      <c r="CM8" s="339"/>
      <c r="CN8" s="336"/>
      <c r="CO8" s="336"/>
      <c r="CP8" s="337"/>
      <c r="CQ8" s="338"/>
      <c r="CR8" s="338"/>
      <c r="CS8" s="339"/>
      <c r="CT8" s="323"/>
      <c r="CU8" s="323"/>
      <c r="CV8" s="324"/>
      <c r="CW8" s="325"/>
      <c r="CX8" s="325"/>
      <c r="CY8" s="326"/>
      <c r="CZ8" s="323"/>
      <c r="DA8" s="323"/>
      <c r="DB8" s="324"/>
      <c r="DC8" s="169"/>
      <c r="DD8" s="169">
        <v>1</v>
      </c>
      <c r="DE8" s="170"/>
      <c r="DF8" s="171"/>
      <c r="DG8" s="170"/>
      <c r="DH8" s="170"/>
      <c r="DI8" s="29"/>
    </row>
    <row r="9" spans="1:115" s="28" customFormat="1" ht="24.75" customHeight="1">
      <c r="A9" s="257">
        <f>'Danh muc'!A9</f>
        <v>2</v>
      </c>
      <c r="B9" s="258">
        <f>'Danh muc'!B9</f>
        <v>20122900</v>
      </c>
      <c r="C9" s="259" t="str">
        <f>'Danh muc'!C9</f>
        <v>Nguyễn Thị Liến</v>
      </c>
      <c r="D9" s="258" t="str">
        <f>'Danh muc'!E9</f>
        <v>Mua hàng</v>
      </c>
      <c r="E9" s="202">
        <f t="shared" ref="E9:E72" si="0">IF(OR(N9="LN",N9&lt;=1),0,N9)+IF(OR(Q9="LN",Q9&lt;=1),0,Q9)+IF(OR(T9="LN",T9&lt;=1),0,T9)+IF(OR(W9="LN",W9&lt;=1),0,W9)+IF(OR(Z9="LN",Z9&lt;=1),0,Z9)+IF(OR(AC9="LN",AC9&lt;=1),0,AC9)+IF(OR(AF9="LN",AF9&lt;=1),0,AF9)+IF(OR(AI9="LN",AI9&lt;=1),0,AI9)+IF(OR(AL9="LN",AL9&lt;=1),0,AL9)+IF(OR(AO9="LN",AO9&lt;=1),0,AO9)+IF(OR(AR9="LN",AR9&lt;=1),0,AR9)+IF(OR(AU9="LN",AU9&lt;=1),0,AU9)+IF(OR(AX9="LN",AX9&lt;=1),0,AX9)+IF(OR(BA9="LN",BA9&lt;=1),0,BA9)+IF(OR(BD9="LN",BD9&lt;=1),0,BD9)+IF(OR(BG9="LN",BG9&lt;=1),0,BG9)+IF(OR(BJ9="LN",BJ9&lt;=1),0,BJ9)+IF(OR(BM9="LN",BM9&lt;=1),0,BM9)+IF(OR(BP9="LN",BP9&lt;=1),0,BP9)+IF(OR(BS9="LN",BS9&lt;=1),0,BS9)+IF(OR(BV9="LN",BV9&lt;=1),0,BV9)+IF(OR(BY9="LN",BY9&lt;=1),0,BY9)+IF(OR(CB9="LN",CB9&lt;=1),0,CB9)+IF(OR(CE9="LN",CE9&lt;=1),0,CE9)+IF(OR(CH9="LN",CH9&lt;=1),0,CH9)+IF(OR(CK9="LN",CK9&lt;=1),0,CK9)+IF(OR(CN9="LN",CN9&lt;=1),0,CN9)+IF(OR(CQ9="LN",CQ9&lt;=1),0,CQ9)+IF(OR(CT9="LN",CT9&lt;=1),0,CT9)+IF(OR(CW9="LN",CW9&lt;=1),0,CW9)+IF(OR(CZ9="LN",CZ9&lt;=1),0,CZ9)</f>
        <v>0</v>
      </c>
      <c r="F9" s="202">
        <f t="shared" ref="F9:F72" si="1">IF(OR(O9="TC",O9&lt;=1),0,O9)+IF(OR(R9="TC",R9&lt;=1),0,R9)+IF(OR(U9="TC",U9&lt;=1),0,U9)+IF(OR(X9="TC",X9&lt;=1),0,X9)+IF(OR(AA9="TC",AA9&lt;=1),0,AA9)+IF(OR(AD9="TC",AD9&lt;=1),0,AD9)+IF(OR(AG9="TC",AG9&lt;=1),0,AG9)+IF(OR(AJ9="TC",AJ9&lt;=1),0,AJ9)+IF(OR(AM9="TC",AM9&lt;=1),0,AM9)+IF(OR(AP9="TC",AP9&lt;=1),0,AP9)+IF(OR(AS9="TC",AS9&lt;=1),0,AS9)+IF(OR(AV9="TC",AV9&lt;=1),0,AV9)+IF(OR(AY9="TC",AY9&lt;=1),0,AY9)+IF(OR(BB9="TC",BB9&lt;=1),0,BB9)+IF(OR(BE9="TC",BE9&lt;=1),0,BE9)+IF(OR(BH9="TC",BH9&lt;=1),0,BH9)+IF(OR(BK9="TC",BK9&lt;=1),0,BK9)+IF(OR(BN9="TC",BN9&lt;=1),0,BN9)+IF(OR(BQ9="TC",BQ9&lt;=1),0,BQ9)+IF(OR(BT9="TC",BT9&lt;=1),0,BT9)+IF(OR(BW9="TC",BW9&lt;=1),0,BW9)+IF(OR(BZ9="TC",BZ9&lt;=1),0,BZ9)+IF(OR(CC9="TC",CC9&lt;=1),0,CC9)+IF(OR(CF9="TC",CF9&lt;=1),0,CF9)+IF(OR(CI9="TC",CI9&lt;=1),0,CI9)+IF(OR(CL9="TC",CL9&lt;=1),0,CL9)+IF(OR(CO9="TC",CO9&lt;=1),0,CO9)+IF(OR(CR9="TC",CR9&lt;=1),0,CR9)+IF(OR(CU9="TC",CU9&lt;=1),0,CU9)+IF(OR(CX9="TC",CX9&lt;=1),0,CX9)+IF(OR(DA9="TC",DA9&lt;=1),0,DA9)</f>
        <v>0</v>
      </c>
      <c r="G9" s="202">
        <f t="shared" ref="G9:G72" si="2">P9+S9+V9+Y9+AB9+AE9+AH9+AK9+AN9+AQ9+AT9+AW9+AZ9+BC9+BF9+BI9+BL9+BO9+BR9+BU9+BX9+CA9+CD9+CG9+CJ9+CM9+CP9+CS9+CV9+CY9+DB9</f>
        <v>0</v>
      </c>
      <c r="H9" s="203">
        <f t="shared" ref="H9:I54" si="3">IF(N9&lt;=1,N9,0)+IF(Q9&lt;=1,Q9,0)+IF(T9&lt;=1,T9,0)+IF(W9&lt;=1,W9,0)+IF(Z9&lt;=1,Z9,0)+IF(AC9&lt;=1,AC9,0)+IF(AF9&lt;=1,AF9,0)+IF(AI9&lt;=1,AI9,0)+IF(AL9&lt;=1,AL9,0)+IF(AO9&lt;=1,AO9,0)+IF(AR9&lt;=1,AR9,0)+IF(AU9&lt;=1,AU9,0)+IF(AX9&lt;=1,AX9,0)+IF(BA9&lt;=1,BA9,0)+IF(BD9&lt;=1,BD9,0)+IF(BG9&lt;=1,BG9,0)+IF(BJ9&lt;=1,BJ9,0)+IF(BM9&lt;=1,BM9,0)+IF(BP9&lt;=1,BP9,0)+IF(BS9&lt;=1,BS9,0)+IF(BV9&lt;=1,BV9,0)+IF(BY9&lt;=1,BY9,0)+IF(CB9&lt;=1,CB9,0)+IF(CE9&lt;=1,CE9,0)+IF(CH9&lt;=1,CH9,0)+IF(CK9&lt;=1,CK9,0)+IF(CN9&lt;=1,CN9,0)+IF(CQ9&lt;=1,CQ9,0)+IF(CT9&lt;=1,CT9,0)+IF(CW9&lt;=1,CW9,0)+IF(CZ9&lt;=1,CZ9,0)</f>
        <v>0</v>
      </c>
      <c r="I9" s="204">
        <f t="shared" si="3"/>
        <v>0</v>
      </c>
      <c r="J9" s="203">
        <f t="shared" ref="J9:J54" si="4">IF(N9=1,P9,0)+IF(Q9=1,S9,0)+IF(T9=1,V9,0)+IF(W9=1,Y9,0)+IF(Z9=1,AB9,0)+IF(AC9=1,AE9,0)+IF(AF9=1,AH9,0)+IF(AI9=1,AK9,0)+IF(AL9=1,AN9,0)+IF(AO9=1,AQ9,0)+IF(AR9=1,AT9,0)+IF(AU9=1,AW9,0)+IF(AX9=1,AZ9,0)+IF(BA9=1,BC9,0)+IF(BD9=1,BF9,0)+IF(BG9=1,BI9,0)+IF(BJ9=1,BL9,0)+IF(BM9=1,BO9,0)+IF(BP9=1,BR9,0)+IF(BS9=1,BU9,0)+IF(BV9=1,BX9,0)+IF(BY9=1,CA9,0)+IF(CB9=1,CD9,0)+IF(CE9=1,CG9,0)+IF(CH9=1,CJ9,0)+IF(CK9=1,CM9,0)+IF(CN9=1,CP9,0)+IF(CQ9=1,CS9,0)+IF(CT9=1,CV9,0)+IF(CW9=1,CY9,0)+IF(CZ9=1,DB9,0)</f>
        <v>0</v>
      </c>
      <c r="K9" s="205">
        <f t="shared" ref="K9:K72" si="5">IF(N9&gt;=5,1,0)+IF(Q9&gt;=5,1,0)+IF(T9&gt;=5,1,0)+IF(W9&gt;=5,1,0)+IF(Z9&gt;=5,1,0)+IF(AC9&gt;=5,1,0)+IF(AF9&gt;=5,1,0)+IF(AI9&gt;=5,1,0)+IF(AL9&gt;=5,1,0)+IF(AO9&gt;=5,1,0)+IF(AR9&gt;=5,1,0)+IF(AU9&gt;=5,1,0)+IF(AX9&gt;=5,1,0)+IF(BA9&gt;=5,1,0)+IF(BD9&gt;=5,1,0)+IF(BG9&gt;=5,1,0)+IF(BJ9&gt;=5,1,0)+IF(BM9&gt;=5,1,0)+IF(BP9&gt;=5,1,0)+IF(BS9&gt;=5,1,0)+IF(BV9&gt;=5,1,0)+IF(BY9&gt;=5,1,0)+IF(CB9&gt;=5,1,0)+IF(CE9&gt;=5,1,0)+IF(CH9&gt;=5,1,0)+IF(CK9&gt;=5,1,0)+IF(CN9&gt;=5,1,0)+IF(CQ9&gt;=5,1,0)+IF(CT9&gt;=5,1,0)+IF(CW9&gt;=5,1,0)+IF(CZ9&gt;=5,1,0)</f>
        <v>0</v>
      </c>
      <c r="L9" s="206">
        <f t="shared" ref="L9:L72" si="6">IF(O9&gt;=8,1,0)+IF(R9&gt;=8,1,0)+IF(U9&gt;=8,1,0)+IF(X9&gt;=8,1,0)+IF(AA9&gt;=8,1,0)+IF(AD9&gt;=8,1,0)+IF(AG9&gt;=8,1,0)+IF(AJ9&gt;=8,1,0)+IF(AM9&gt;=8,1,0)+IF(AP9&gt;=8,1,0)+IF(AS9&gt;=8,1,0)+IF(AV9&gt;=8,1,0)+IF(AY9&gt;=8,1,0)+IF(BB9&gt;=8,1,0)+IF(BE9&gt;=8,1,0)+IF(BH9&gt;=8,1,0)+IF(BK9&gt;=8,1,0)+IF(BN9&gt;=8,1,0)+IF(BQ9&gt;=8,1,0)+IF(BT9&gt;=8,1,0)+IF(BW9&gt;=8,1,0)+IF(BZ9&gt;=8,1,0)+IF(CC9&gt;=8,1,0)+IF(CF9&gt;=8,1,0)+IF(CI9&gt;=8,1,0)+IF(CL9&gt;=8,1,0)+IF(CO9&gt;=8,1,0)+IF(CR9&gt;=8,1,0)+IF(CU9&gt;=8,1,0)+IF(CX9&gt;=8,1,0)+IF(DA9&gt;=8,1,0)</f>
        <v>0</v>
      </c>
      <c r="M9" s="207">
        <f t="shared" ref="M9:M72" si="7">COUNTIF(N9:DB9,8)+COUNTIF(N9:DB9,8.25)+COUNTIF(N9:DB9,8.5)+COUNTIF(N9:DB9,8.75)+COUNTIF(N9:DB9,9)+COUNTIF(N9:DB9,9.25)+COUNTIF(N9:DB9,9.5)+COUNTIF(N9:DB9,9.75)+COUNTIF(N9:DB9,10)+COUNTIF(N9:DB9,10.25)+COUNTIF(N9:DB9,10.5)+COUNTIF(N9:DB9,10.75)+COUNTIF(N9:DB9,11)+COUNTIF(N9:DB9,11.25)+COUNTIF(N9:DB9,11.5)+COUNTIF(N9:DB9,11.75)+COUNTIF(N9:DB9,12)</f>
        <v>0</v>
      </c>
      <c r="N9" s="336"/>
      <c r="O9" s="336"/>
      <c r="P9" s="337"/>
      <c r="Q9" s="338"/>
      <c r="R9" s="338"/>
      <c r="S9" s="339"/>
      <c r="T9" s="336"/>
      <c r="U9" s="336"/>
      <c r="V9" s="337"/>
      <c r="W9" s="338"/>
      <c r="X9" s="338"/>
      <c r="Y9" s="339"/>
      <c r="Z9" s="336"/>
      <c r="AA9" s="336"/>
      <c r="AB9" s="337"/>
      <c r="AC9" s="338"/>
      <c r="AD9" s="338"/>
      <c r="AE9" s="339"/>
      <c r="AF9" s="336"/>
      <c r="AG9" s="336"/>
      <c r="AH9" s="337"/>
      <c r="AI9" s="338"/>
      <c r="AJ9" s="338"/>
      <c r="AK9" s="339"/>
      <c r="AL9" s="336"/>
      <c r="AM9" s="336"/>
      <c r="AN9" s="337"/>
      <c r="AO9" s="338"/>
      <c r="AP9" s="338"/>
      <c r="AQ9" s="339"/>
      <c r="AR9" s="336"/>
      <c r="AS9" s="336"/>
      <c r="AT9" s="337"/>
      <c r="AU9" s="338"/>
      <c r="AV9" s="338"/>
      <c r="AW9" s="339"/>
      <c r="AX9" s="336"/>
      <c r="AY9" s="336"/>
      <c r="AZ9" s="337"/>
      <c r="BA9" s="338"/>
      <c r="BB9" s="338"/>
      <c r="BC9" s="339"/>
      <c r="BD9" s="336"/>
      <c r="BE9" s="336"/>
      <c r="BF9" s="337"/>
      <c r="BG9" s="338"/>
      <c r="BH9" s="338"/>
      <c r="BI9" s="339"/>
      <c r="BJ9" s="336"/>
      <c r="BK9" s="336"/>
      <c r="BL9" s="337"/>
      <c r="BM9" s="338"/>
      <c r="BN9" s="338"/>
      <c r="BO9" s="339"/>
      <c r="BP9" s="336"/>
      <c r="BQ9" s="336"/>
      <c r="BR9" s="337"/>
      <c r="BS9" s="338"/>
      <c r="BT9" s="338"/>
      <c r="BU9" s="339"/>
      <c r="BV9" s="336"/>
      <c r="BW9" s="336"/>
      <c r="BX9" s="337"/>
      <c r="BY9" s="338"/>
      <c r="BZ9" s="338"/>
      <c r="CA9" s="339"/>
      <c r="CB9" s="336"/>
      <c r="CC9" s="336"/>
      <c r="CD9" s="337"/>
      <c r="CE9" s="338"/>
      <c r="CF9" s="338"/>
      <c r="CG9" s="339"/>
      <c r="CH9" s="336"/>
      <c r="CI9" s="336"/>
      <c r="CJ9" s="337"/>
      <c r="CK9" s="338"/>
      <c r="CL9" s="338"/>
      <c r="CM9" s="339"/>
      <c r="CN9" s="336"/>
      <c r="CO9" s="336"/>
      <c r="CP9" s="337"/>
      <c r="CQ9" s="338"/>
      <c r="CR9" s="338"/>
      <c r="CS9" s="339"/>
      <c r="CT9" s="323"/>
      <c r="CU9" s="323"/>
      <c r="CV9" s="324"/>
      <c r="CW9" s="325"/>
      <c r="CX9" s="325"/>
      <c r="CY9" s="326"/>
      <c r="CZ9" s="323"/>
      <c r="DA9" s="323"/>
      <c r="DB9" s="324"/>
      <c r="DC9" s="169"/>
      <c r="DD9" s="169">
        <v>1</v>
      </c>
      <c r="DE9" s="170"/>
      <c r="DF9" s="171"/>
      <c r="DG9" s="170"/>
      <c r="DH9" s="170"/>
      <c r="DI9" s="29"/>
    </row>
    <row r="10" spans="1:115" s="28" customFormat="1" ht="24.75" customHeight="1">
      <c r="A10" s="257">
        <f>'Danh muc'!A10</f>
        <v>3</v>
      </c>
      <c r="B10" s="258">
        <f>'Danh muc'!B10</f>
        <v>20020700</v>
      </c>
      <c r="C10" s="259" t="str">
        <f>'Danh muc'!C10</f>
        <v>Phan Hiệp Thành Danh</v>
      </c>
      <c r="D10" s="258" t="str">
        <f>'Danh muc'!E10</f>
        <v>Kho</v>
      </c>
      <c r="E10" s="202">
        <f t="shared" si="0"/>
        <v>0</v>
      </c>
      <c r="F10" s="202">
        <f t="shared" si="1"/>
        <v>0</v>
      </c>
      <c r="G10" s="202">
        <f t="shared" si="2"/>
        <v>0</v>
      </c>
      <c r="H10" s="203">
        <f t="shared" si="3"/>
        <v>0</v>
      </c>
      <c r="I10" s="204">
        <f t="shared" si="3"/>
        <v>0</v>
      </c>
      <c r="J10" s="203">
        <f t="shared" si="4"/>
        <v>0</v>
      </c>
      <c r="K10" s="205">
        <f t="shared" si="5"/>
        <v>0</v>
      </c>
      <c r="L10" s="206">
        <f t="shared" si="6"/>
        <v>0</v>
      </c>
      <c r="M10" s="207">
        <f t="shared" si="7"/>
        <v>0</v>
      </c>
      <c r="N10" s="336"/>
      <c r="O10" s="336"/>
      <c r="P10" s="337"/>
      <c r="Q10" s="338"/>
      <c r="R10" s="338"/>
      <c r="S10" s="339"/>
      <c r="T10" s="336"/>
      <c r="U10" s="336"/>
      <c r="V10" s="337"/>
      <c r="W10" s="338"/>
      <c r="X10" s="338"/>
      <c r="Y10" s="339"/>
      <c r="Z10" s="336"/>
      <c r="AA10" s="336"/>
      <c r="AB10" s="337"/>
      <c r="AC10" s="338"/>
      <c r="AD10" s="338"/>
      <c r="AE10" s="339"/>
      <c r="AF10" s="336"/>
      <c r="AG10" s="336"/>
      <c r="AH10" s="337"/>
      <c r="AI10" s="338"/>
      <c r="AJ10" s="338"/>
      <c r="AK10" s="339"/>
      <c r="AL10" s="336"/>
      <c r="AM10" s="336"/>
      <c r="AN10" s="337"/>
      <c r="AO10" s="338"/>
      <c r="AP10" s="338"/>
      <c r="AQ10" s="339"/>
      <c r="AR10" s="336"/>
      <c r="AS10" s="336"/>
      <c r="AT10" s="337"/>
      <c r="AU10" s="338"/>
      <c r="AV10" s="338"/>
      <c r="AW10" s="339"/>
      <c r="AX10" s="336"/>
      <c r="AY10" s="336"/>
      <c r="AZ10" s="337"/>
      <c r="BA10" s="338"/>
      <c r="BB10" s="338"/>
      <c r="BC10" s="339"/>
      <c r="BD10" s="336"/>
      <c r="BE10" s="336"/>
      <c r="BF10" s="337"/>
      <c r="BG10" s="338"/>
      <c r="BH10" s="338"/>
      <c r="BI10" s="339"/>
      <c r="BJ10" s="336"/>
      <c r="BK10" s="336"/>
      <c r="BL10" s="337"/>
      <c r="BM10" s="338"/>
      <c r="BN10" s="338"/>
      <c r="BO10" s="339"/>
      <c r="BP10" s="336"/>
      <c r="BQ10" s="336"/>
      <c r="BR10" s="337"/>
      <c r="BS10" s="338"/>
      <c r="BT10" s="338"/>
      <c r="BU10" s="339"/>
      <c r="BV10" s="336"/>
      <c r="BW10" s="336"/>
      <c r="BX10" s="337"/>
      <c r="BY10" s="338"/>
      <c r="BZ10" s="338"/>
      <c r="CA10" s="339"/>
      <c r="CB10" s="336"/>
      <c r="CC10" s="336"/>
      <c r="CD10" s="337"/>
      <c r="CE10" s="338"/>
      <c r="CF10" s="338"/>
      <c r="CG10" s="339"/>
      <c r="CH10" s="336"/>
      <c r="CI10" s="336"/>
      <c r="CJ10" s="337"/>
      <c r="CK10" s="338"/>
      <c r="CL10" s="338"/>
      <c r="CM10" s="339"/>
      <c r="CN10" s="336"/>
      <c r="CO10" s="336"/>
      <c r="CP10" s="337"/>
      <c r="CQ10" s="338"/>
      <c r="CR10" s="338"/>
      <c r="CS10" s="339"/>
      <c r="CT10" s="323"/>
      <c r="CU10" s="323"/>
      <c r="CV10" s="324"/>
      <c r="CW10" s="325"/>
      <c r="CX10" s="325"/>
      <c r="CY10" s="326"/>
      <c r="CZ10" s="323"/>
      <c r="DA10" s="323"/>
      <c r="DB10" s="324"/>
      <c r="DC10" s="169"/>
      <c r="DD10" s="169">
        <v>1</v>
      </c>
      <c r="DE10" s="170"/>
      <c r="DF10" s="171"/>
      <c r="DG10" s="170"/>
      <c r="DH10" s="170"/>
      <c r="DI10" s="29"/>
    </row>
    <row r="11" spans="1:115" ht="24.75" customHeight="1">
      <c r="A11" s="257">
        <f>'Danh muc'!A11</f>
        <v>4</v>
      </c>
      <c r="B11" s="258">
        <f>'Danh muc'!B11</f>
        <v>19010300</v>
      </c>
      <c r="C11" s="259" t="str">
        <f>'Danh muc'!C11</f>
        <v>Phan Thành Triệu</v>
      </c>
      <c r="D11" s="258" t="str">
        <f>'Danh muc'!E11</f>
        <v>Kỹ thuật</v>
      </c>
      <c r="E11" s="202">
        <f t="shared" si="0"/>
        <v>0</v>
      </c>
      <c r="F11" s="202">
        <f t="shared" si="1"/>
        <v>0</v>
      </c>
      <c r="G11" s="202">
        <f t="shared" si="2"/>
        <v>0</v>
      </c>
      <c r="H11" s="203">
        <f t="shared" si="3"/>
        <v>0</v>
      </c>
      <c r="I11" s="204">
        <f t="shared" si="3"/>
        <v>0</v>
      </c>
      <c r="J11" s="203">
        <f t="shared" si="4"/>
        <v>0</v>
      </c>
      <c r="K11" s="205">
        <f t="shared" si="5"/>
        <v>0</v>
      </c>
      <c r="L11" s="206">
        <f t="shared" si="6"/>
        <v>0</v>
      </c>
      <c r="M11" s="207">
        <f t="shared" si="7"/>
        <v>0</v>
      </c>
      <c r="N11" s="336"/>
      <c r="O11" s="336"/>
      <c r="P11" s="337"/>
      <c r="Q11" s="338"/>
      <c r="R11" s="338"/>
      <c r="S11" s="339"/>
      <c r="T11" s="336"/>
      <c r="U11" s="336"/>
      <c r="V11" s="337"/>
      <c r="W11" s="338"/>
      <c r="X11" s="338"/>
      <c r="Y11" s="339"/>
      <c r="Z11" s="336"/>
      <c r="AA11" s="336"/>
      <c r="AB11" s="337"/>
      <c r="AC11" s="338"/>
      <c r="AD11" s="338"/>
      <c r="AE11" s="339"/>
      <c r="AF11" s="336"/>
      <c r="AG11" s="336"/>
      <c r="AH11" s="337"/>
      <c r="AI11" s="338"/>
      <c r="AJ11" s="338"/>
      <c r="AK11" s="339"/>
      <c r="AL11" s="336"/>
      <c r="AM11" s="336"/>
      <c r="AN11" s="337"/>
      <c r="AO11" s="338"/>
      <c r="AP11" s="338"/>
      <c r="AQ11" s="339"/>
      <c r="AR11" s="336"/>
      <c r="AS11" s="336"/>
      <c r="AT11" s="337"/>
      <c r="AU11" s="338"/>
      <c r="AV11" s="338"/>
      <c r="AW11" s="339"/>
      <c r="AX11" s="336"/>
      <c r="AY11" s="336"/>
      <c r="AZ11" s="337"/>
      <c r="BA11" s="338"/>
      <c r="BB11" s="338"/>
      <c r="BC11" s="339"/>
      <c r="BD11" s="336"/>
      <c r="BE11" s="336"/>
      <c r="BF11" s="337"/>
      <c r="BG11" s="338"/>
      <c r="BH11" s="338"/>
      <c r="BI11" s="339"/>
      <c r="BJ11" s="336"/>
      <c r="BK11" s="336"/>
      <c r="BL11" s="337"/>
      <c r="BM11" s="338"/>
      <c r="BN11" s="338"/>
      <c r="BO11" s="339"/>
      <c r="BP11" s="336"/>
      <c r="BQ11" s="336"/>
      <c r="BR11" s="337"/>
      <c r="BS11" s="338"/>
      <c r="BT11" s="338"/>
      <c r="BU11" s="339"/>
      <c r="BV11" s="336"/>
      <c r="BW11" s="336"/>
      <c r="BX11" s="337"/>
      <c r="BY11" s="338"/>
      <c r="BZ11" s="338"/>
      <c r="CA11" s="339"/>
      <c r="CB11" s="336"/>
      <c r="CC11" s="336"/>
      <c r="CD11" s="337"/>
      <c r="CE11" s="338"/>
      <c r="CF11" s="338"/>
      <c r="CG11" s="339"/>
      <c r="CH11" s="336"/>
      <c r="CI11" s="336"/>
      <c r="CJ11" s="337"/>
      <c r="CK11" s="338"/>
      <c r="CL11" s="338"/>
      <c r="CM11" s="339"/>
      <c r="CN11" s="336"/>
      <c r="CO11" s="336"/>
      <c r="CP11" s="337"/>
      <c r="CQ11" s="338"/>
      <c r="CR11" s="338"/>
      <c r="CS11" s="339"/>
      <c r="CT11" s="323"/>
      <c r="CU11" s="323"/>
      <c r="CV11" s="324"/>
      <c r="CW11" s="325"/>
      <c r="CX11" s="325"/>
      <c r="CY11" s="326"/>
      <c r="CZ11" s="323"/>
      <c r="DA11" s="323"/>
      <c r="DB11" s="324"/>
      <c r="DC11" s="169"/>
      <c r="DD11" s="169">
        <v>1</v>
      </c>
      <c r="DE11" s="170"/>
      <c r="DF11" s="171"/>
      <c r="DG11" s="170"/>
      <c r="DH11" s="170"/>
      <c r="DI11" s="29"/>
      <c r="DJ11" s="29"/>
      <c r="DK11" s="29"/>
    </row>
    <row r="12" spans="1:115" s="28" customFormat="1" ht="24.75" customHeight="1">
      <c r="A12" s="257">
        <f>'Danh muc'!A12</f>
        <v>5</v>
      </c>
      <c r="B12" s="258">
        <f>'Danh muc'!B12</f>
        <v>18010900</v>
      </c>
      <c r="C12" s="259" t="str">
        <f>'Danh muc'!C12</f>
        <v>Lê Đức Trọng</v>
      </c>
      <c r="D12" s="258" t="str">
        <f>'Danh muc'!E12</f>
        <v>Khuôn</v>
      </c>
      <c r="E12" s="202">
        <f t="shared" si="0"/>
        <v>0</v>
      </c>
      <c r="F12" s="202">
        <f t="shared" si="1"/>
        <v>0</v>
      </c>
      <c r="G12" s="202">
        <f t="shared" si="2"/>
        <v>0</v>
      </c>
      <c r="H12" s="203">
        <f t="shared" si="3"/>
        <v>0</v>
      </c>
      <c r="I12" s="204">
        <f t="shared" si="3"/>
        <v>0</v>
      </c>
      <c r="J12" s="203">
        <f t="shared" si="4"/>
        <v>0</v>
      </c>
      <c r="K12" s="205">
        <f t="shared" si="5"/>
        <v>0</v>
      </c>
      <c r="L12" s="206">
        <f t="shared" si="6"/>
        <v>0</v>
      </c>
      <c r="M12" s="207">
        <f t="shared" si="7"/>
        <v>0</v>
      </c>
      <c r="N12" s="336"/>
      <c r="O12" s="336"/>
      <c r="P12" s="337"/>
      <c r="Q12" s="338"/>
      <c r="R12" s="338"/>
      <c r="S12" s="339"/>
      <c r="T12" s="336"/>
      <c r="U12" s="336"/>
      <c r="V12" s="337"/>
      <c r="W12" s="338"/>
      <c r="X12" s="338"/>
      <c r="Y12" s="339"/>
      <c r="Z12" s="336"/>
      <c r="AA12" s="336"/>
      <c r="AB12" s="337"/>
      <c r="AC12" s="338"/>
      <c r="AD12" s="338"/>
      <c r="AE12" s="339"/>
      <c r="AF12" s="336"/>
      <c r="AG12" s="336"/>
      <c r="AH12" s="337"/>
      <c r="AI12" s="338"/>
      <c r="AJ12" s="338"/>
      <c r="AK12" s="339"/>
      <c r="AL12" s="336"/>
      <c r="AM12" s="336"/>
      <c r="AN12" s="337"/>
      <c r="AO12" s="338"/>
      <c r="AP12" s="338"/>
      <c r="AQ12" s="339"/>
      <c r="AR12" s="336"/>
      <c r="AS12" s="336"/>
      <c r="AT12" s="337"/>
      <c r="AU12" s="338"/>
      <c r="AV12" s="338"/>
      <c r="AW12" s="339"/>
      <c r="AX12" s="336"/>
      <c r="AY12" s="336"/>
      <c r="AZ12" s="337"/>
      <c r="BA12" s="338"/>
      <c r="BB12" s="338"/>
      <c r="BC12" s="339"/>
      <c r="BD12" s="336"/>
      <c r="BE12" s="336"/>
      <c r="BF12" s="337"/>
      <c r="BG12" s="338"/>
      <c r="BH12" s="338"/>
      <c r="BI12" s="339"/>
      <c r="BJ12" s="336"/>
      <c r="BK12" s="336"/>
      <c r="BL12" s="337"/>
      <c r="BM12" s="338"/>
      <c r="BN12" s="338"/>
      <c r="BO12" s="339"/>
      <c r="BP12" s="336"/>
      <c r="BQ12" s="336"/>
      <c r="BR12" s="337"/>
      <c r="BS12" s="338"/>
      <c r="BT12" s="338"/>
      <c r="BU12" s="339"/>
      <c r="BV12" s="336"/>
      <c r="BW12" s="336"/>
      <c r="BX12" s="337"/>
      <c r="BY12" s="338"/>
      <c r="BZ12" s="338"/>
      <c r="CA12" s="339"/>
      <c r="CB12" s="336"/>
      <c r="CC12" s="336"/>
      <c r="CD12" s="337"/>
      <c r="CE12" s="338"/>
      <c r="CF12" s="338"/>
      <c r="CG12" s="339"/>
      <c r="CH12" s="336"/>
      <c r="CI12" s="336"/>
      <c r="CJ12" s="337"/>
      <c r="CK12" s="338"/>
      <c r="CL12" s="338"/>
      <c r="CM12" s="339"/>
      <c r="CN12" s="336"/>
      <c r="CO12" s="336"/>
      <c r="CP12" s="337"/>
      <c r="CQ12" s="338"/>
      <c r="CR12" s="338"/>
      <c r="CS12" s="339"/>
      <c r="CT12" s="323"/>
      <c r="CU12" s="323"/>
      <c r="CV12" s="324"/>
      <c r="CW12" s="325"/>
      <c r="CX12" s="325"/>
      <c r="CY12" s="326"/>
      <c r="CZ12" s="323"/>
      <c r="DA12" s="323"/>
      <c r="DB12" s="324"/>
      <c r="DC12" s="169"/>
      <c r="DD12" s="169">
        <v>1</v>
      </c>
      <c r="DE12" s="170"/>
      <c r="DF12" s="171"/>
      <c r="DG12" s="170"/>
      <c r="DH12" s="170"/>
      <c r="DI12" s="29"/>
    </row>
    <row r="13" spans="1:115" s="28" customFormat="1" ht="24.75" customHeight="1">
      <c r="A13" s="257">
        <f>'Danh muc'!A13</f>
        <v>6</v>
      </c>
      <c r="B13" s="258">
        <f>'Danh muc'!B13</f>
        <v>19010400</v>
      </c>
      <c r="C13" s="259" t="str">
        <f>'Danh muc'!C13</f>
        <v>Võ Duy Thanh</v>
      </c>
      <c r="D13" s="258" t="str">
        <f>'Danh muc'!E13</f>
        <v>QA</v>
      </c>
      <c r="E13" s="202">
        <f t="shared" si="0"/>
        <v>0</v>
      </c>
      <c r="F13" s="202">
        <f t="shared" si="1"/>
        <v>0</v>
      </c>
      <c r="G13" s="202">
        <f t="shared" si="2"/>
        <v>0</v>
      </c>
      <c r="H13" s="203">
        <f t="shared" si="3"/>
        <v>0</v>
      </c>
      <c r="I13" s="204">
        <f t="shared" si="3"/>
        <v>0</v>
      </c>
      <c r="J13" s="203">
        <f t="shared" si="4"/>
        <v>0</v>
      </c>
      <c r="K13" s="205">
        <f t="shared" si="5"/>
        <v>0</v>
      </c>
      <c r="L13" s="206">
        <f t="shared" si="6"/>
        <v>0</v>
      </c>
      <c r="M13" s="207">
        <f t="shared" si="7"/>
        <v>0</v>
      </c>
      <c r="N13" s="336"/>
      <c r="O13" s="336"/>
      <c r="P13" s="337"/>
      <c r="Q13" s="338"/>
      <c r="R13" s="338"/>
      <c r="S13" s="339"/>
      <c r="T13" s="336"/>
      <c r="U13" s="336"/>
      <c r="V13" s="337"/>
      <c r="W13" s="338"/>
      <c r="X13" s="338"/>
      <c r="Y13" s="339"/>
      <c r="Z13" s="336"/>
      <c r="AA13" s="336"/>
      <c r="AB13" s="337"/>
      <c r="AC13" s="338"/>
      <c r="AD13" s="338"/>
      <c r="AE13" s="339"/>
      <c r="AF13" s="336"/>
      <c r="AG13" s="336"/>
      <c r="AH13" s="337"/>
      <c r="AI13" s="338"/>
      <c r="AJ13" s="338"/>
      <c r="AK13" s="339"/>
      <c r="AL13" s="336"/>
      <c r="AM13" s="336"/>
      <c r="AN13" s="337"/>
      <c r="AO13" s="338"/>
      <c r="AP13" s="338"/>
      <c r="AQ13" s="339"/>
      <c r="AR13" s="336"/>
      <c r="AS13" s="336"/>
      <c r="AT13" s="337"/>
      <c r="AU13" s="338"/>
      <c r="AV13" s="338"/>
      <c r="AW13" s="339"/>
      <c r="AX13" s="336"/>
      <c r="AY13" s="336"/>
      <c r="AZ13" s="337"/>
      <c r="BA13" s="338"/>
      <c r="BB13" s="338"/>
      <c r="BC13" s="339"/>
      <c r="BD13" s="336"/>
      <c r="BE13" s="336"/>
      <c r="BF13" s="337"/>
      <c r="BG13" s="338"/>
      <c r="BH13" s="338"/>
      <c r="BI13" s="339"/>
      <c r="BJ13" s="336"/>
      <c r="BK13" s="336"/>
      <c r="BL13" s="337"/>
      <c r="BM13" s="338"/>
      <c r="BN13" s="338"/>
      <c r="BO13" s="339"/>
      <c r="BP13" s="336"/>
      <c r="BQ13" s="336"/>
      <c r="BR13" s="337"/>
      <c r="BS13" s="338"/>
      <c r="BT13" s="338"/>
      <c r="BU13" s="339"/>
      <c r="BV13" s="336"/>
      <c r="BW13" s="336"/>
      <c r="BX13" s="337"/>
      <c r="BY13" s="338"/>
      <c r="BZ13" s="338"/>
      <c r="CA13" s="339"/>
      <c r="CB13" s="336"/>
      <c r="CC13" s="336"/>
      <c r="CD13" s="337"/>
      <c r="CE13" s="338"/>
      <c r="CF13" s="338"/>
      <c r="CG13" s="339"/>
      <c r="CH13" s="336"/>
      <c r="CI13" s="336"/>
      <c r="CJ13" s="337"/>
      <c r="CK13" s="338"/>
      <c r="CL13" s="338"/>
      <c r="CM13" s="339"/>
      <c r="CN13" s="336"/>
      <c r="CO13" s="336"/>
      <c r="CP13" s="337"/>
      <c r="CQ13" s="338"/>
      <c r="CR13" s="338"/>
      <c r="CS13" s="339"/>
      <c r="CT13" s="323"/>
      <c r="CU13" s="323"/>
      <c r="CV13" s="324"/>
      <c r="CW13" s="325"/>
      <c r="CX13" s="325"/>
      <c r="CY13" s="326"/>
      <c r="CZ13" s="323"/>
      <c r="DA13" s="323"/>
      <c r="DB13" s="324"/>
      <c r="DC13" s="169"/>
      <c r="DD13" s="169">
        <v>1</v>
      </c>
      <c r="DE13" s="170"/>
      <c r="DF13" s="171"/>
      <c r="DG13" s="170"/>
      <c r="DH13" s="170"/>
      <c r="DI13" s="29"/>
    </row>
    <row r="14" spans="1:115" s="29" customFormat="1" ht="24.75" customHeight="1">
      <c r="A14" s="257">
        <f>'Danh muc'!A14</f>
        <v>7</v>
      </c>
      <c r="B14" s="258">
        <f>'Danh muc'!B14</f>
        <v>17030500</v>
      </c>
      <c r="C14" s="259" t="str">
        <f>'Danh muc'!C14</f>
        <v>Lê Thành Trung</v>
      </c>
      <c r="D14" s="258" t="str">
        <f>'Danh muc'!E14</f>
        <v>Bảo trì</v>
      </c>
      <c r="E14" s="202">
        <f t="shared" si="0"/>
        <v>0</v>
      </c>
      <c r="F14" s="202">
        <f t="shared" si="1"/>
        <v>0</v>
      </c>
      <c r="G14" s="202">
        <f t="shared" si="2"/>
        <v>0</v>
      </c>
      <c r="H14" s="203">
        <f t="shared" si="3"/>
        <v>0</v>
      </c>
      <c r="I14" s="204">
        <f t="shared" si="3"/>
        <v>0</v>
      </c>
      <c r="J14" s="203">
        <f t="shared" si="4"/>
        <v>0</v>
      </c>
      <c r="K14" s="205">
        <f t="shared" si="5"/>
        <v>0</v>
      </c>
      <c r="L14" s="206">
        <f t="shared" si="6"/>
        <v>0</v>
      </c>
      <c r="M14" s="207">
        <f t="shared" si="7"/>
        <v>0</v>
      </c>
      <c r="N14" s="336"/>
      <c r="O14" s="336"/>
      <c r="P14" s="337"/>
      <c r="Q14" s="338"/>
      <c r="R14" s="338"/>
      <c r="S14" s="339"/>
      <c r="T14" s="336"/>
      <c r="U14" s="336"/>
      <c r="V14" s="337"/>
      <c r="W14" s="338"/>
      <c r="X14" s="338"/>
      <c r="Y14" s="339"/>
      <c r="Z14" s="336"/>
      <c r="AA14" s="336"/>
      <c r="AB14" s="337"/>
      <c r="AC14" s="338"/>
      <c r="AD14" s="338"/>
      <c r="AE14" s="339"/>
      <c r="AF14" s="336"/>
      <c r="AG14" s="336"/>
      <c r="AH14" s="337"/>
      <c r="AI14" s="338"/>
      <c r="AJ14" s="338"/>
      <c r="AK14" s="339"/>
      <c r="AL14" s="336"/>
      <c r="AM14" s="336"/>
      <c r="AN14" s="337"/>
      <c r="AO14" s="338"/>
      <c r="AP14" s="338"/>
      <c r="AQ14" s="339"/>
      <c r="AR14" s="336"/>
      <c r="AS14" s="336"/>
      <c r="AT14" s="337"/>
      <c r="AU14" s="338"/>
      <c r="AV14" s="338"/>
      <c r="AW14" s="339"/>
      <c r="AX14" s="336"/>
      <c r="AY14" s="336"/>
      <c r="AZ14" s="337"/>
      <c r="BA14" s="338"/>
      <c r="BB14" s="338"/>
      <c r="BC14" s="339"/>
      <c r="BD14" s="336"/>
      <c r="BE14" s="336"/>
      <c r="BF14" s="337"/>
      <c r="BG14" s="338"/>
      <c r="BH14" s="338"/>
      <c r="BI14" s="339"/>
      <c r="BJ14" s="336"/>
      <c r="BK14" s="336"/>
      <c r="BL14" s="337"/>
      <c r="BM14" s="338"/>
      <c r="BN14" s="338"/>
      <c r="BO14" s="339"/>
      <c r="BP14" s="336"/>
      <c r="BQ14" s="336"/>
      <c r="BR14" s="337"/>
      <c r="BS14" s="338"/>
      <c r="BT14" s="338"/>
      <c r="BU14" s="339"/>
      <c r="BV14" s="336"/>
      <c r="BW14" s="336"/>
      <c r="BX14" s="337"/>
      <c r="BY14" s="338"/>
      <c r="BZ14" s="338"/>
      <c r="CA14" s="339"/>
      <c r="CB14" s="336"/>
      <c r="CC14" s="336"/>
      <c r="CD14" s="337"/>
      <c r="CE14" s="338"/>
      <c r="CF14" s="338"/>
      <c r="CG14" s="339"/>
      <c r="CH14" s="336"/>
      <c r="CI14" s="336"/>
      <c r="CJ14" s="337"/>
      <c r="CK14" s="338"/>
      <c r="CL14" s="338"/>
      <c r="CM14" s="339"/>
      <c r="CN14" s="336"/>
      <c r="CO14" s="336"/>
      <c r="CP14" s="337"/>
      <c r="CQ14" s="338"/>
      <c r="CR14" s="338"/>
      <c r="CS14" s="339"/>
      <c r="CT14" s="323"/>
      <c r="CU14" s="323"/>
      <c r="CV14" s="324"/>
      <c r="CW14" s="325"/>
      <c r="CX14" s="325"/>
      <c r="CY14" s="326"/>
      <c r="CZ14" s="323"/>
      <c r="DA14" s="323"/>
      <c r="DB14" s="324"/>
      <c r="DC14" s="169"/>
      <c r="DD14" s="169">
        <v>1</v>
      </c>
      <c r="DE14" s="170"/>
      <c r="DF14" s="171"/>
      <c r="DG14" s="170"/>
      <c r="DH14" s="170"/>
    </row>
    <row r="15" spans="1:115" s="29" customFormat="1" ht="24.75" customHeight="1">
      <c r="A15" s="257">
        <f>'Danh muc'!A15</f>
        <v>8</v>
      </c>
      <c r="B15" s="258">
        <f>'Danh muc'!B15</f>
        <v>22042200</v>
      </c>
      <c r="C15" s="259" t="str">
        <f>'Danh muc'!C15</f>
        <v>Nguyễn Tấn Nghĩa</v>
      </c>
      <c r="D15" s="258" t="str">
        <f>'Danh muc'!E15</f>
        <v>Bảo trì</v>
      </c>
      <c r="E15" s="202">
        <f t="shared" si="0"/>
        <v>0</v>
      </c>
      <c r="F15" s="202">
        <f t="shared" si="1"/>
        <v>0</v>
      </c>
      <c r="G15" s="202">
        <f t="shared" si="2"/>
        <v>0</v>
      </c>
      <c r="H15" s="203">
        <f t="shared" si="3"/>
        <v>0</v>
      </c>
      <c r="I15" s="204">
        <f t="shared" si="3"/>
        <v>0</v>
      </c>
      <c r="J15" s="203">
        <f t="shared" si="4"/>
        <v>0</v>
      </c>
      <c r="K15" s="205">
        <f t="shared" si="5"/>
        <v>0</v>
      </c>
      <c r="L15" s="206">
        <f t="shared" si="6"/>
        <v>0</v>
      </c>
      <c r="M15" s="207">
        <f t="shared" si="7"/>
        <v>0</v>
      </c>
      <c r="N15" s="336"/>
      <c r="O15" s="336"/>
      <c r="P15" s="337"/>
      <c r="Q15" s="338"/>
      <c r="R15" s="338"/>
      <c r="S15" s="339"/>
      <c r="T15" s="336"/>
      <c r="U15" s="336"/>
      <c r="V15" s="337"/>
      <c r="W15" s="338"/>
      <c r="X15" s="338"/>
      <c r="Y15" s="339"/>
      <c r="Z15" s="336"/>
      <c r="AA15" s="336"/>
      <c r="AB15" s="337"/>
      <c r="AC15" s="338"/>
      <c r="AD15" s="338"/>
      <c r="AE15" s="339"/>
      <c r="AF15" s="336"/>
      <c r="AG15" s="336"/>
      <c r="AH15" s="337"/>
      <c r="AI15" s="338"/>
      <c r="AJ15" s="338"/>
      <c r="AK15" s="339"/>
      <c r="AL15" s="336"/>
      <c r="AM15" s="336"/>
      <c r="AN15" s="337"/>
      <c r="AO15" s="338"/>
      <c r="AP15" s="338"/>
      <c r="AQ15" s="339"/>
      <c r="AR15" s="336"/>
      <c r="AS15" s="336"/>
      <c r="AT15" s="337"/>
      <c r="AU15" s="338"/>
      <c r="AV15" s="338"/>
      <c r="AW15" s="339"/>
      <c r="AX15" s="336"/>
      <c r="AY15" s="336"/>
      <c r="AZ15" s="337"/>
      <c r="BA15" s="338"/>
      <c r="BB15" s="338"/>
      <c r="BC15" s="339"/>
      <c r="BD15" s="336"/>
      <c r="BE15" s="336"/>
      <c r="BF15" s="337"/>
      <c r="BG15" s="338"/>
      <c r="BH15" s="338"/>
      <c r="BI15" s="339"/>
      <c r="BJ15" s="336"/>
      <c r="BK15" s="336"/>
      <c r="BL15" s="337"/>
      <c r="BM15" s="338"/>
      <c r="BN15" s="338"/>
      <c r="BO15" s="339"/>
      <c r="BP15" s="336"/>
      <c r="BQ15" s="336"/>
      <c r="BR15" s="337"/>
      <c r="BS15" s="338"/>
      <c r="BT15" s="338"/>
      <c r="BU15" s="339"/>
      <c r="BV15" s="336"/>
      <c r="BW15" s="336"/>
      <c r="BX15" s="337"/>
      <c r="BY15" s="338"/>
      <c r="BZ15" s="338"/>
      <c r="CA15" s="339"/>
      <c r="CB15" s="336"/>
      <c r="CC15" s="336"/>
      <c r="CD15" s="337"/>
      <c r="CE15" s="338"/>
      <c r="CF15" s="338"/>
      <c r="CG15" s="339"/>
      <c r="CH15" s="336"/>
      <c r="CI15" s="336"/>
      <c r="CJ15" s="337"/>
      <c r="CK15" s="338"/>
      <c r="CL15" s="338"/>
      <c r="CM15" s="339"/>
      <c r="CN15" s="336"/>
      <c r="CO15" s="336"/>
      <c r="CP15" s="337"/>
      <c r="CQ15" s="338"/>
      <c r="CR15" s="338"/>
      <c r="CS15" s="339"/>
      <c r="CT15" s="323"/>
      <c r="CU15" s="323"/>
      <c r="CV15" s="324"/>
      <c r="CW15" s="325"/>
      <c r="CX15" s="325"/>
      <c r="CY15" s="326"/>
      <c r="CZ15" s="323"/>
      <c r="DA15" s="323"/>
      <c r="DB15" s="324"/>
      <c r="DC15" s="169"/>
      <c r="DD15" s="169">
        <v>1</v>
      </c>
      <c r="DE15" s="170"/>
      <c r="DF15" s="171"/>
      <c r="DG15" s="170"/>
      <c r="DH15" s="170"/>
    </row>
    <row r="16" spans="1:115" s="28" customFormat="1" ht="24.75" customHeight="1">
      <c r="A16" s="257">
        <f>'Danh muc'!A16</f>
        <v>9</v>
      </c>
      <c r="B16" s="258">
        <f>'Danh muc'!B16</f>
        <v>20102800</v>
      </c>
      <c r="C16" s="259" t="str">
        <f>'Danh muc'!C16</f>
        <v>Nguyễn Thùy Trang</v>
      </c>
      <c r="D16" s="258" t="str">
        <f>'Danh muc'!E16</f>
        <v>QC</v>
      </c>
      <c r="E16" s="202">
        <f t="shared" si="0"/>
        <v>0</v>
      </c>
      <c r="F16" s="202">
        <f t="shared" si="1"/>
        <v>0</v>
      </c>
      <c r="G16" s="202">
        <f t="shared" si="2"/>
        <v>0</v>
      </c>
      <c r="H16" s="203">
        <f t="shared" si="3"/>
        <v>0</v>
      </c>
      <c r="I16" s="204">
        <f t="shared" si="3"/>
        <v>0</v>
      </c>
      <c r="J16" s="203">
        <f t="shared" si="4"/>
        <v>0</v>
      </c>
      <c r="K16" s="205">
        <f t="shared" si="5"/>
        <v>0</v>
      </c>
      <c r="L16" s="206">
        <f t="shared" si="6"/>
        <v>0</v>
      </c>
      <c r="M16" s="207">
        <f t="shared" si="7"/>
        <v>0</v>
      </c>
      <c r="N16" s="336"/>
      <c r="O16" s="336"/>
      <c r="P16" s="337"/>
      <c r="Q16" s="338"/>
      <c r="R16" s="338"/>
      <c r="S16" s="339"/>
      <c r="T16" s="336"/>
      <c r="U16" s="336"/>
      <c r="V16" s="337"/>
      <c r="W16" s="338"/>
      <c r="X16" s="338"/>
      <c r="Y16" s="339"/>
      <c r="Z16" s="336"/>
      <c r="AA16" s="336"/>
      <c r="AB16" s="337"/>
      <c r="AC16" s="338"/>
      <c r="AD16" s="338"/>
      <c r="AE16" s="339"/>
      <c r="AF16" s="336"/>
      <c r="AG16" s="336"/>
      <c r="AH16" s="337"/>
      <c r="AI16" s="338"/>
      <c r="AJ16" s="338"/>
      <c r="AK16" s="339"/>
      <c r="AL16" s="336"/>
      <c r="AM16" s="336"/>
      <c r="AN16" s="337"/>
      <c r="AO16" s="338"/>
      <c r="AP16" s="338"/>
      <c r="AQ16" s="339"/>
      <c r="AR16" s="336"/>
      <c r="AS16" s="336"/>
      <c r="AT16" s="337"/>
      <c r="AU16" s="338"/>
      <c r="AV16" s="338"/>
      <c r="AW16" s="339"/>
      <c r="AX16" s="336"/>
      <c r="AY16" s="336"/>
      <c r="AZ16" s="337"/>
      <c r="BA16" s="338"/>
      <c r="BB16" s="338"/>
      <c r="BC16" s="339"/>
      <c r="BD16" s="336"/>
      <c r="BE16" s="336"/>
      <c r="BF16" s="337"/>
      <c r="BG16" s="338"/>
      <c r="BH16" s="338"/>
      <c r="BI16" s="339"/>
      <c r="BJ16" s="336"/>
      <c r="BK16" s="336"/>
      <c r="BL16" s="337"/>
      <c r="BM16" s="338"/>
      <c r="BN16" s="338"/>
      <c r="BO16" s="339"/>
      <c r="BP16" s="336"/>
      <c r="BQ16" s="336"/>
      <c r="BR16" s="337"/>
      <c r="BS16" s="338"/>
      <c r="BT16" s="338"/>
      <c r="BU16" s="339"/>
      <c r="BV16" s="336"/>
      <c r="BW16" s="336"/>
      <c r="BX16" s="337"/>
      <c r="BY16" s="338"/>
      <c r="BZ16" s="338"/>
      <c r="CA16" s="339"/>
      <c r="CB16" s="336"/>
      <c r="CC16" s="336"/>
      <c r="CD16" s="337"/>
      <c r="CE16" s="338"/>
      <c r="CF16" s="338"/>
      <c r="CG16" s="339"/>
      <c r="CH16" s="336"/>
      <c r="CI16" s="336"/>
      <c r="CJ16" s="337"/>
      <c r="CK16" s="338"/>
      <c r="CL16" s="338"/>
      <c r="CM16" s="339"/>
      <c r="CN16" s="336"/>
      <c r="CO16" s="336"/>
      <c r="CP16" s="337"/>
      <c r="CQ16" s="338"/>
      <c r="CR16" s="338"/>
      <c r="CS16" s="339"/>
      <c r="CT16" s="323"/>
      <c r="CU16" s="323"/>
      <c r="CV16" s="324"/>
      <c r="CW16" s="325"/>
      <c r="CX16" s="325"/>
      <c r="CY16" s="326"/>
      <c r="CZ16" s="323"/>
      <c r="DA16" s="323"/>
      <c r="DB16" s="324"/>
      <c r="DC16" s="169"/>
      <c r="DD16" s="169">
        <v>1</v>
      </c>
      <c r="DE16" s="170"/>
      <c r="DF16" s="171"/>
      <c r="DG16" s="170"/>
      <c r="DH16" s="170"/>
      <c r="DI16" s="29"/>
    </row>
    <row r="17" spans="1:115" s="28" customFormat="1" ht="24.75" customHeight="1">
      <c r="A17" s="257">
        <f>'Danh muc'!A17</f>
        <v>10</v>
      </c>
      <c r="B17" s="258">
        <f>'Danh muc'!B17</f>
        <v>17031400</v>
      </c>
      <c r="C17" s="259" t="str">
        <f>'Danh muc'!C17</f>
        <v>Huỳnh Văn Thanh</v>
      </c>
      <c r="D17" s="258" t="str">
        <f>'Danh muc'!E17</f>
        <v>Văn phòng</v>
      </c>
      <c r="E17" s="202">
        <f t="shared" si="0"/>
        <v>0</v>
      </c>
      <c r="F17" s="202">
        <f t="shared" si="1"/>
        <v>0</v>
      </c>
      <c r="G17" s="202">
        <f t="shared" si="2"/>
        <v>0</v>
      </c>
      <c r="H17" s="203">
        <f t="shared" si="3"/>
        <v>0</v>
      </c>
      <c r="I17" s="204">
        <f t="shared" si="3"/>
        <v>0</v>
      </c>
      <c r="J17" s="203">
        <f t="shared" si="4"/>
        <v>0</v>
      </c>
      <c r="K17" s="205">
        <f t="shared" si="5"/>
        <v>0</v>
      </c>
      <c r="L17" s="206">
        <f t="shared" si="6"/>
        <v>0</v>
      </c>
      <c r="M17" s="207">
        <f t="shared" si="7"/>
        <v>0</v>
      </c>
      <c r="N17" s="336"/>
      <c r="O17" s="336"/>
      <c r="P17" s="337"/>
      <c r="Q17" s="338"/>
      <c r="R17" s="338"/>
      <c r="S17" s="339"/>
      <c r="T17" s="336"/>
      <c r="U17" s="336"/>
      <c r="V17" s="337"/>
      <c r="W17" s="338"/>
      <c r="X17" s="338"/>
      <c r="Y17" s="339"/>
      <c r="Z17" s="336"/>
      <c r="AA17" s="336"/>
      <c r="AB17" s="337"/>
      <c r="AC17" s="338"/>
      <c r="AD17" s="338"/>
      <c r="AE17" s="339"/>
      <c r="AF17" s="336"/>
      <c r="AG17" s="336"/>
      <c r="AH17" s="337"/>
      <c r="AI17" s="338"/>
      <c r="AJ17" s="338"/>
      <c r="AK17" s="339"/>
      <c r="AL17" s="336"/>
      <c r="AM17" s="336"/>
      <c r="AN17" s="337"/>
      <c r="AO17" s="338"/>
      <c r="AP17" s="338"/>
      <c r="AQ17" s="339"/>
      <c r="AR17" s="336"/>
      <c r="AS17" s="336"/>
      <c r="AT17" s="337"/>
      <c r="AU17" s="338"/>
      <c r="AV17" s="338"/>
      <c r="AW17" s="339"/>
      <c r="AX17" s="336"/>
      <c r="AY17" s="336"/>
      <c r="AZ17" s="337"/>
      <c r="BA17" s="338"/>
      <c r="BB17" s="338"/>
      <c r="BC17" s="339"/>
      <c r="BD17" s="336"/>
      <c r="BE17" s="336"/>
      <c r="BF17" s="337"/>
      <c r="BG17" s="338"/>
      <c r="BH17" s="338"/>
      <c r="BI17" s="339"/>
      <c r="BJ17" s="336"/>
      <c r="BK17" s="336"/>
      <c r="BL17" s="337"/>
      <c r="BM17" s="338"/>
      <c r="BN17" s="338"/>
      <c r="BO17" s="339"/>
      <c r="BP17" s="336"/>
      <c r="BQ17" s="336"/>
      <c r="BR17" s="337"/>
      <c r="BS17" s="338"/>
      <c r="BT17" s="338"/>
      <c r="BU17" s="339"/>
      <c r="BV17" s="336"/>
      <c r="BW17" s="336"/>
      <c r="BX17" s="337"/>
      <c r="BY17" s="338"/>
      <c r="BZ17" s="338"/>
      <c r="CA17" s="339"/>
      <c r="CB17" s="336"/>
      <c r="CC17" s="336"/>
      <c r="CD17" s="337"/>
      <c r="CE17" s="338"/>
      <c r="CF17" s="338"/>
      <c r="CG17" s="339"/>
      <c r="CH17" s="336"/>
      <c r="CI17" s="336"/>
      <c r="CJ17" s="337"/>
      <c r="CK17" s="338"/>
      <c r="CL17" s="338"/>
      <c r="CM17" s="339"/>
      <c r="CN17" s="336"/>
      <c r="CO17" s="336"/>
      <c r="CP17" s="337"/>
      <c r="CQ17" s="338"/>
      <c r="CR17" s="338"/>
      <c r="CS17" s="339"/>
      <c r="CT17" s="323"/>
      <c r="CU17" s="323"/>
      <c r="CV17" s="324"/>
      <c r="CW17" s="325"/>
      <c r="CX17" s="325"/>
      <c r="CY17" s="326"/>
      <c r="CZ17" s="323"/>
      <c r="DA17" s="323"/>
      <c r="DB17" s="324"/>
      <c r="DC17" s="169"/>
      <c r="DD17" s="169">
        <v>1</v>
      </c>
      <c r="DE17" s="170"/>
      <c r="DF17" s="171"/>
      <c r="DG17" s="170"/>
      <c r="DH17" s="170"/>
      <c r="DI17" s="29"/>
    </row>
    <row r="18" spans="1:115" s="28" customFormat="1" ht="24.75" customHeight="1">
      <c r="A18" s="257">
        <f>'Danh muc'!A18</f>
        <v>11</v>
      </c>
      <c r="B18" s="258">
        <f>'Danh muc'!B18</f>
        <v>20050400</v>
      </c>
      <c r="C18" s="259" t="str">
        <f>'Danh muc'!C18</f>
        <v>Trần Phi Long</v>
      </c>
      <c r="D18" s="258" t="str">
        <f>'Danh muc'!E18</f>
        <v>Khuôn</v>
      </c>
      <c r="E18" s="202">
        <f t="shared" si="0"/>
        <v>0</v>
      </c>
      <c r="F18" s="202">
        <f t="shared" si="1"/>
        <v>0</v>
      </c>
      <c r="G18" s="202">
        <f t="shared" si="2"/>
        <v>0</v>
      </c>
      <c r="H18" s="203">
        <f t="shared" si="3"/>
        <v>0</v>
      </c>
      <c r="I18" s="204">
        <f t="shared" si="3"/>
        <v>0</v>
      </c>
      <c r="J18" s="203">
        <f t="shared" si="4"/>
        <v>0</v>
      </c>
      <c r="K18" s="205">
        <f t="shared" si="5"/>
        <v>0</v>
      </c>
      <c r="L18" s="206">
        <f t="shared" si="6"/>
        <v>0</v>
      </c>
      <c r="M18" s="207">
        <f t="shared" si="7"/>
        <v>0</v>
      </c>
      <c r="N18" s="336"/>
      <c r="O18" s="336"/>
      <c r="P18" s="337"/>
      <c r="Q18" s="338"/>
      <c r="R18" s="338"/>
      <c r="S18" s="339"/>
      <c r="T18" s="336"/>
      <c r="U18" s="336"/>
      <c r="V18" s="337"/>
      <c r="W18" s="338"/>
      <c r="X18" s="338"/>
      <c r="Y18" s="339"/>
      <c r="Z18" s="336"/>
      <c r="AA18" s="336"/>
      <c r="AB18" s="337"/>
      <c r="AC18" s="338"/>
      <c r="AD18" s="338"/>
      <c r="AE18" s="339"/>
      <c r="AF18" s="336"/>
      <c r="AG18" s="336"/>
      <c r="AH18" s="337"/>
      <c r="AI18" s="338"/>
      <c r="AJ18" s="338"/>
      <c r="AK18" s="339"/>
      <c r="AL18" s="336"/>
      <c r="AM18" s="336"/>
      <c r="AN18" s="337"/>
      <c r="AO18" s="338"/>
      <c r="AP18" s="338"/>
      <c r="AQ18" s="339"/>
      <c r="AR18" s="336"/>
      <c r="AS18" s="336"/>
      <c r="AT18" s="337"/>
      <c r="AU18" s="338"/>
      <c r="AV18" s="338"/>
      <c r="AW18" s="339"/>
      <c r="AX18" s="336"/>
      <c r="AY18" s="336"/>
      <c r="AZ18" s="337"/>
      <c r="BA18" s="338"/>
      <c r="BB18" s="338"/>
      <c r="BC18" s="339"/>
      <c r="BD18" s="336"/>
      <c r="BE18" s="336"/>
      <c r="BF18" s="337"/>
      <c r="BG18" s="338"/>
      <c r="BH18" s="338"/>
      <c r="BI18" s="339"/>
      <c r="BJ18" s="336"/>
      <c r="BK18" s="336"/>
      <c r="BL18" s="337"/>
      <c r="BM18" s="338"/>
      <c r="BN18" s="338"/>
      <c r="BO18" s="339"/>
      <c r="BP18" s="336"/>
      <c r="BQ18" s="336"/>
      <c r="BR18" s="337"/>
      <c r="BS18" s="338"/>
      <c r="BT18" s="338"/>
      <c r="BU18" s="339"/>
      <c r="BV18" s="336"/>
      <c r="BW18" s="336"/>
      <c r="BX18" s="337"/>
      <c r="BY18" s="338"/>
      <c r="BZ18" s="338"/>
      <c r="CA18" s="339"/>
      <c r="CB18" s="336"/>
      <c r="CC18" s="336"/>
      <c r="CD18" s="337"/>
      <c r="CE18" s="338"/>
      <c r="CF18" s="338"/>
      <c r="CG18" s="339"/>
      <c r="CH18" s="336"/>
      <c r="CI18" s="336"/>
      <c r="CJ18" s="337"/>
      <c r="CK18" s="338"/>
      <c r="CL18" s="338"/>
      <c r="CM18" s="339"/>
      <c r="CN18" s="336"/>
      <c r="CO18" s="336"/>
      <c r="CP18" s="337"/>
      <c r="CQ18" s="338"/>
      <c r="CR18" s="338"/>
      <c r="CS18" s="339"/>
      <c r="CT18" s="323"/>
      <c r="CU18" s="323"/>
      <c r="CV18" s="324"/>
      <c r="CW18" s="325"/>
      <c r="CX18" s="325"/>
      <c r="CY18" s="326"/>
      <c r="CZ18" s="323"/>
      <c r="DA18" s="323"/>
      <c r="DB18" s="324"/>
      <c r="DC18" s="169"/>
      <c r="DD18" s="169">
        <v>1</v>
      </c>
      <c r="DE18" s="170"/>
      <c r="DF18" s="171"/>
      <c r="DG18" s="170"/>
      <c r="DH18" s="170"/>
      <c r="DI18" s="29"/>
    </row>
    <row r="19" spans="1:115" s="28" customFormat="1" ht="24.75" customHeight="1">
      <c r="A19" s="257">
        <f>'Danh muc'!A19</f>
        <v>12</v>
      </c>
      <c r="B19" s="258">
        <f>'Danh muc'!B19</f>
        <v>24050201</v>
      </c>
      <c r="C19" s="259" t="str">
        <f>'Danh muc'!C19</f>
        <v>Nguyễn Hữu Huynh</v>
      </c>
      <c r="D19" s="258" t="str">
        <f>'Danh muc'!E19</f>
        <v>Khuôn</v>
      </c>
      <c r="E19" s="202">
        <f t="shared" si="0"/>
        <v>0</v>
      </c>
      <c r="F19" s="202">
        <f t="shared" si="1"/>
        <v>0</v>
      </c>
      <c r="G19" s="202">
        <f t="shared" si="2"/>
        <v>0</v>
      </c>
      <c r="H19" s="203">
        <f t="shared" si="3"/>
        <v>0</v>
      </c>
      <c r="I19" s="204">
        <f t="shared" si="3"/>
        <v>0</v>
      </c>
      <c r="J19" s="203">
        <f t="shared" si="4"/>
        <v>0</v>
      </c>
      <c r="K19" s="205">
        <f t="shared" si="5"/>
        <v>0</v>
      </c>
      <c r="L19" s="206">
        <f t="shared" si="6"/>
        <v>0</v>
      </c>
      <c r="M19" s="207">
        <f t="shared" si="7"/>
        <v>0</v>
      </c>
      <c r="N19" s="336"/>
      <c r="O19" s="336"/>
      <c r="P19" s="337"/>
      <c r="Q19" s="338"/>
      <c r="R19" s="338"/>
      <c r="S19" s="339"/>
      <c r="T19" s="336"/>
      <c r="U19" s="336"/>
      <c r="V19" s="337"/>
      <c r="W19" s="338"/>
      <c r="X19" s="338"/>
      <c r="Y19" s="339"/>
      <c r="Z19" s="336"/>
      <c r="AA19" s="336"/>
      <c r="AB19" s="337"/>
      <c r="AC19" s="338"/>
      <c r="AD19" s="338"/>
      <c r="AE19" s="339"/>
      <c r="AF19" s="336"/>
      <c r="AG19" s="336"/>
      <c r="AH19" s="337"/>
      <c r="AI19" s="338"/>
      <c r="AJ19" s="338"/>
      <c r="AK19" s="339"/>
      <c r="AL19" s="336"/>
      <c r="AM19" s="336"/>
      <c r="AN19" s="337"/>
      <c r="AO19" s="338"/>
      <c r="AP19" s="338"/>
      <c r="AQ19" s="339"/>
      <c r="AR19" s="336"/>
      <c r="AS19" s="336"/>
      <c r="AT19" s="337"/>
      <c r="AU19" s="338"/>
      <c r="AV19" s="338"/>
      <c r="AW19" s="339"/>
      <c r="AX19" s="336"/>
      <c r="AY19" s="336"/>
      <c r="AZ19" s="337"/>
      <c r="BA19" s="338"/>
      <c r="BB19" s="338"/>
      <c r="BC19" s="339"/>
      <c r="BD19" s="336"/>
      <c r="BE19" s="336"/>
      <c r="BF19" s="337"/>
      <c r="BG19" s="338"/>
      <c r="BH19" s="338"/>
      <c r="BI19" s="339"/>
      <c r="BJ19" s="336"/>
      <c r="BK19" s="336"/>
      <c r="BL19" s="337"/>
      <c r="BM19" s="338"/>
      <c r="BN19" s="338"/>
      <c r="BO19" s="339"/>
      <c r="BP19" s="336"/>
      <c r="BQ19" s="336"/>
      <c r="BR19" s="337"/>
      <c r="BS19" s="338"/>
      <c r="BT19" s="338"/>
      <c r="BU19" s="339"/>
      <c r="BV19" s="336"/>
      <c r="BW19" s="336"/>
      <c r="BX19" s="337"/>
      <c r="BY19" s="338"/>
      <c r="BZ19" s="338"/>
      <c r="CA19" s="339"/>
      <c r="CB19" s="336"/>
      <c r="CC19" s="336"/>
      <c r="CD19" s="337"/>
      <c r="CE19" s="338"/>
      <c r="CF19" s="338"/>
      <c r="CG19" s="339"/>
      <c r="CH19" s="336"/>
      <c r="CI19" s="336"/>
      <c r="CJ19" s="337"/>
      <c r="CK19" s="338"/>
      <c r="CL19" s="338"/>
      <c r="CM19" s="339"/>
      <c r="CN19" s="336"/>
      <c r="CO19" s="336"/>
      <c r="CP19" s="337"/>
      <c r="CQ19" s="338"/>
      <c r="CR19" s="338"/>
      <c r="CS19" s="339"/>
      <c r="CT19" s="323"/>
      <c r="CU19" s="323"/>
      <c r="CV19" s="324"/>
      <c r="CW19" s="325"/>
      <c r="CX19" s="325"/>
      <c r="CY19" s="326"/>
      <c r="CZ19" s="323"/>
      <c r="DA19" s="323"/>
      <c r="DB19" s="324"/>
      <c r="DC19" s="169"/>
      <c r="DD19" s="169">
        <v>1</v>
      </c>
      <c r="DE19" s="170"/>
      <c r="DF19" s="171"/>
      <c r="DG19" s="170"/>
      <c r="DH19" s="170"/>
      <c r="DI19" s="29"/>
    </row>
    <row r="20" spans="1:115" s="28" customFormat="1" ht="24.75" customHeight="1">
      <c r="A20" s="257">
        <f>'Danh muc'!A20</f>
        <v>13</v>
      </c>
      <c r="B20" s="258">
        <f>'Danh muc'!B20</f>
        <v>16120600</v>
      </c>
      <c r="C20" s="259" t="str">
        <f>'Danh muc'!C20</f>
        <v>Nguyễn Văn Nhường</v>
      </c>
      <c r="D20" s="258" t="str">
        <f>'Danh muc'!E20</f>
        <v>Bảo trì</v>
      </c>
      <c r="E20" s="202">
        <f t="shared" si="0"/>
        <v>0</v>
      </c>
      <c r="F20" s="202">
        <f t="shared" si="1"/>
        <v>0</v>
      </c>
      <c r="G20" s="202">
        <f t="shared" si="2"/>
        <v>0</v>
      </c>
      <c r="H20" s="203">
        <f t="shared" si="3"/>
        <v>0</v>
      </c>
      <c r="I20" s="204">
        <f t="shared" si="3"/>
        <v>0</v>
      </c>
      <c r="J20" s="203">
        <f t="shared" si="4"/>
        <v>0</v>
      </c>
      <c r="K20" s="205">
        <f t="shared" si="5"/>
        <v>0</v>
      </c>
      <c r="L20" s="206">
        <f t="shared" si="6"/>
        <v>0</v>
      </c>
      <c r="M20" s="207">
        <f t="shared" si="7"/>
        <v>0</v>
      </c>
      <c r="N20" s="336"/>
      <c r="O20" s="336"/>
      <c r="P20" s="337"/>
      <c r="Q20" s="338"/>
      <c r="R20" s="338"/>
      <c r="S20" s="339"/>
      <c r="T20" s="336"/>
      <c r="U20" s="336"/>
      <c r="V20" s="337"/>
      <c r="W20" s="338"/>
      <c r="X20" s="338"/>
      <c r="Y20" s="339"/>
      <c r="Z20" s="336"/>
      <c r="AA20" s="336"/>
      <c r="AB20" s="337"/>
      <c r="AC20" s="338"/>
      <c r="AD20" s="338"/>
      <c r="AE20" s="339"/>
      <c r="AF20" s="336"/>
      <c r="AG20" s="336"/>
      <c r="AH20" s="337"/>
      <c r="AI20" s="338"/>
      <c r="AJ20" s="338"/>
      <c r="AK20" s="339"/>
      <c r="AL20" s="336"/>
      <c r="AM20" s="336"/>
      <c r="AN20" s="337"/>
      <c r="AO20" s="338"/>
      <c r="AP20" s="338"/>
      <c r="AQ20" s="339"/>
      <c r="AR20" s="336"/>
      <c r="AS20" s="336"/>
      <c r="AT20" s="337"/>
      <c r="AU20" s="338"/>
      <c r="AV20" s="338"/>
      <c r="AW20" s="339"/>
      <c r="AX20" s="336"/>
      <c r="AY20" s="336"/>
      <c r="AZ20" s="337"/>
      <c r="BA20" s="338"/>
      <c r="BB20" s="338"/>
      <c r="BC20" s="339"/>
      <c r="BD20" s="336"/>
      <c r="BE20" s="336"/>
      <c r="BF20" s="337"/>
      <c r="BG20" s="338"/>
      <c r="BH20" s="338"/>
      <c r="BI20" s="339"/>
      <c r="BJ20" s="336"/>
      <c r="BK20" s="336"/>
      <c r="BL20" s="337"/>
      <c r="BM20" s="338"/>
      <c r="BN20" s="338"/>
      <c r="BO20" s="339"/>
      <c r="BP20" s="336"/>
      <c r="BQ20" s="336"/>
      <c r="BR20" s="337"/>
      <c r="BS20" s="338"/>
      <c r="BT20" s="338"/>
      <c r="BU20" s="339"/>
      <c r="BV20" s="336"/>
      <c r="BW20" s="336"/>
      <c r="BX20" s="337"/>
      <c r="BY20" s="338"/>
      <c r="BZ20" s="338"/>
      <c r="CA20" s="339"/>
      <c r="CB20" s="336"/>
      <c r="CC20" s="336"/>
      <c r="CD20" s="337"/>
      <c r="CE20" s="338"/>
      <c r="CF20" s="338"/>
      <c r="CG20" s="339"/>
      <c r="CH20" s="336"/>
      <c r="CI20" s="336"/>
      <c r="CJ20" s="337"/>
      <c r="CK20" s="338"/>
      <c r="CL20" s="338"/>
      <c r="CM20" s="339"/>
      <c r="CN20" s="336"/>
      <c r="CO20" s="336"/>
      <c r="CP20" s="337"/>
      <c r="CQ20" s="338"/>
      <c r="CR20" s="338"/>
      <c r="CS20" s="339"/>
      <c r="CT20" s="323"/>
      <c r="CU20" s="323"/>
      <c r="CV20" s="324"/>
      <c r="CW20" s="325"/>
      <c r="CX20" s="325"/>
      <c r="CY20" s="326"/>
      <c r="CZ20" s="323"/>
      <c r="DA20" s="323"/>
      <c r="DB20" s="324"/>
      <c r="DC20" s="169"/>
      <c r="DD20" s="169">
        <v>1</v>
      </c>
      <c r="DE20" s="170"/>
      <c r="DF20" s="171"/>
      <c r="DG20" s="170"/>
      <c r="DH20" s="170"/>
      <c r="DI20" s="29"/>
    </row>
    <row r="21" spans="1:115" s="28" customFormat="1" ht="24.75" customHeight="1">
      <c r="A21" s="257">
        <f>'Danh muc'!A21</f>
        <v>14</v>
      </c>
      <c r="B21" s="258">
        <f>'Danh muc'!B21</f>
        <v>24021900</v>
      </c>
      <c r="C21" s="259" t="str">
        <f>'Danh muc'!C21</f>
        <v>Nguyễn Bảo Toàn</v>
      </c>
      <c r="D21" s="258" t="str">
        <f>'Danh muc'!E21</f>
        <v>Kho</v>
      </c>
      <c r="E21" s="202">
        <f t="shared" si="0"/>
        <v>0</v>
      </c>
      <c r="F21" s="202">
        <f t="shared" si="1"/>
        <v>0</v>
      </c>
      <c r="G21" s="202">
        <f t="shared" si="2"/>
        <v>0</v>
      </c>
      <c r="H21" s="203">
        <f t="shared" si="3"/>
        <v>0</v>
      </c>
      <c r="I21" s="204">
        <f t="shared" si="3"/>
        <v>0</v>
      </c>
      <c r="J21" s="203">
        <f t="shared" si="4"/>
        <v>0</v>
      </c>
      <c r="K21" s="205">
        <f t="shared" si="5"/>
        <v>0</v>
      </c>
      <c r="L21" s="206">
        <f t="shared" si="6"/>
        <v>0</v>
      </c>
      <c r="M21" s="207">
        <f t="shared" si="7"/>
        <v>0</v>
      </c>
      <c r="N21" s="336"/>
      <c r="O21" s="336"/>
      <c r="P21" s="337"/>
      <c r="Q21" s="338"/>
      <c r="R21" s="338"/>
      <c r="S21" s="339"/>
      <c r="T21" s="336"/>
      <c r="U21" s="336"/>
      <c r="V21" s="337"/>
      <c r="W21" s="338"/>
      <c r="X21" s="338"/>
      <c r="Y21" s="339"/>
      <c r="Z21" s="336"/>
      <c r="AA21" s="336"/>
      <c r="AB21" s="337"/>
      <c r="AC21" s="338"/>
      <c r="AD21" s="338"/>
      <c r="AE21" s="339"/>
      <c r="AF21" s="336"/>
      <c r="AG21" s="336"/>
      <c r="AH21" s="337"/>
      <c r="AI21" s="338"/>
      <c r="AJ21" s="338"/>
      <c r="AK21" s="339"/>
      <c r="AL21" s="336"/>
      <c r="AM21" s="336"/>
      <c r="AN21" s="337"/>
      <c r="AO21" s="338"/>
      <c r="AP21" s="338"/>
      <c r="AQ21" s="339"/>
      <c r="AR21" s="336"/>
      <c r="AS21" s="336"/>
      <c r="AT21" s="337"/>
      <c r="AU21" s="338"/>
      <c r="AV21" s="338"/>
      <c r="AW21" s="339"/>
      <c r="AX21" s="336"/>
      <c r="AY21" s="336"/>
      <c r="AZ21" s="337"/>
      <c r="BA21" s="338"/>
      <c r="BB21" s="338"/>
      <c r="BC21" s="339"/>
      <c r="BD21" s="336"/>
      <c r="BE21" s="336"/>
      <c r="BF21" s="337"/>
      <c r="BG21" s="338"/>
      <c r="BH21" s="338"/>
      <c r="BI21" s="339"/>
      <c r="BJ21" s="336"/>
      <c r="BK21" s="336"/>
      <c r="BL21" s="337"/>
      <c r="BM21" s="338"/>
      <c r="BN21" s="338"/>
      <c r="BO21" s="339"/>
      <c r="BP21" s="336"/>
      <c r="BQ21" s="336"/>
      <c r="BR21" s="337"/>
      <c r="BS21" s="338"/>
      <c r="BT21" s="338"/>
      <c r="BU21" s="339"/>
      <c r="BV21" s="336"/>
      <c r="BW21" s="336"/>
      <c r="BX21" s="337"/>
      <c r="BY21" s="338"/>
      <c r="BZ21" s="338"/>
      <c r="CA21" s="339"/>
      <c r="CB21" s="336"/>
      <c r="CC21" s="336"/>
      <c r="CD21" s="337"/>
      <c r="CE21" s="338"/>
      <c r="CF21" s="338"/>
      <c r="CG21" s="339"/>
      <c r="CH21" s="336"/>
      <c r="CI21" s="336"/>
      <c r="CJ21" s="337"/>
      <c r="CK21" s="338"/>
      <c r="CL21" s="338"/>
      <c r="CM21" s="339"/>
      <c r="CN21" s="336"/>
      <c r="CO21" s="336"/>
      <c r="CP21" s="337"/>
      <c r="CQ21" s="338"/>
      <c r="CR21" s="338"/>
      <c r="CS21" s="339"/>
      <c r="CT21" s="323"/>
      <c r="CU21" s="323"/>
      <c r="CV21" s="324"/>
      <c r="CW21" s="325"/>
      <c r="CX21" s="325"/>
      <c r="CY21" s="326"/>
      <c r="CZ21" s="323"/>
      <c r="DA21" s="323"/>
      <c r="DB21" s="324"/>
      <c r="DC21" s="169"/>
      <c r="DD21" s="169">
        <v>1</v>
      </c>
      <c r="DE21" s="170"/>
      <c r="DF21" s="171"/>
      <c r="DG21" s="170"/>
      <c r="DH21" s="170"/>
      <c r="DI21" s="29"/>
    </row>
    <row r="22" spans="1:115" s="28" customFormat="1" ht="24.75" customHeight="1">
      <c r="A22" s="257">
        <f>'Danh muc'!A22</f>
        <v>15</v>
      </c>
      <c r="B22" s="258">
        <f>'Danh muc'!B22</f>
        <v>22022200</v>
      </c>
      <c r="C22" s="259" t="str">
        <f>'Danh muc'!C22</f>
        <v>Võ Minh Hiếu</v>
      </c>
      <c r="D22" s="258" t="str">
        <f>'Danh muc'!E22</f>
        <v>Kho</v>
      </c>
      <c r="E22" s="202">
        <f t="shared" si="0"/>
        <v>0</v>
      </c>
      <c r="F22" s="202">
        <f t="shared" si="1"/>
        <v>0</v>
      </c>
      <c r="G22" s="202">
        <f t="shared" si="2"/>
        <v>0</v>
      </c>
      <c r="H22" s="203">
        <f t="shared" si="3"/>
        <v>0</v>
      </c>
      <c r="I22" s="204">
        <f t="shared" si="3"/>
        <v>0</v>
      </c>
      <c r="J22" s="203">
        <f t="shared" si="4"/>
        <v>0</v>
      </c>
      <c r="K22" s="205">
        <f t="shared" si="5"/>
        <v>0</v>
      </c>
      <c r="L22" s="206">
        <f t="shared" si="6"/>
        <v>0</v>
      </c>
      <c r="M22" s="207">
        <f t="shared" si="7"/>
        <v>0</v>
      </c>
      <c r="N22" s="336"/>
      <c r="O22" s="336"/>
      <c r="P22" s="337"/>
      <c r="Q22" s="338"/>
      <c r="R22" s="338"/>
      <c r="S22" s="339"/>
      <c r="T22" s="336"/>
      <c r="U22" s="336"/>
      <c r="V22" s="337"/>
      <c r="W22" s="338"/>
      <c r="X22" s="338"/>
      <c r="Y22" s="339"/>
      <c r="Z22" s="336"/>
      <c r="AA22" s="336"/>
      <c r="AB22" s="337"/>
      <c r="AC22" s="338"/>
      <c r="AD22" s="338"/>
      <c r="AE22" s="339"/>
      <c r="AF22" s="336"/>
      <c r="AG22" s="336"/>
      <c r="AH22" s="337"/>
      <c r="AI22" s="338"/>
      <c r="AJ22" s="338"/>
      <c r="AK22" s="339"/>
      <c r="AL22" s="336"/>
      <c r="AM22" s="336"/>
      <c r="AN22" s="337"/>
      <c r="AO22" s="338"/>
      <c r="AP22" s="338"/>
      <c r="AQ22" s="339"/>
      <c r="AR22" s="336"/>
      <c r="AS22" s="336"/>
      <c r="AT22" s="337"/>
      <c r="AU22" s="338"/>
      <c r="AV22" s="338"/>
      <c r="AW22" s="339"/>
      <c r="AX22" s="336"/>
      <c r="AY22" s="336"/>
      <c r="AZ22" s="337"/>
      <c r="BA22" s="338"/>
      <c r="BB22" s="338"/>
      <c r="BC22" s="339"/>
      <c r="BD22" s="336"/>
      <c r="BE22" s="336"/>
      <c r="BF22" s="337"/>
      <c r="BG22" s="338"/>
      <c r="BH22" s="338"/>
      <c r="BI22" s="339"/>
      <c r="BJ22" s="336"/>
      <c r="BK22" s="336"/>
      <c r="BL22" s="337"/>
      <c r="BM22" s="338"/>
      <c r="BN22" s="338"/>
      <c r="BO22" s="339"/>
      <c r="BP22" s="336"/>
      <c r="BQ22" s="336"/>
      <c r="BR22" s="337"/>
      <c r="BS22" s="338"/>
      <c r="BT22" s="338"/>
      <c r="BU22" s="339"/>
      <c r="BV22" s="336"/>
      <c r="BW22" s="336"/>
      <c r="BX22" s="337"/>
      <c r="BY22" s="338"/>
      <c r="BZ22" s="338"/>
      <c r="CA22" s="339"/>
      <c r="CB22" s="336"/>
      <c r="CC22" s="336"/>
      <c r="CD22" s="337"/>
      <c r="CE22" s="338"/>
      <c r="CF22" s="338"/>
      <c r="CG22" s="339"/>
      <c r="CH22" s="336"/>
      <c r="CI22" s="336"/>
      <c r="CJ22" s="337"/>
      <c r="CK22" s="338"/>
      <c r="CL22" s="338"/>
      <c r="CM22" s="339"/>
      <c r="CN22" s="336"/>
      <c r="CO22" s="336"/>
      <c r="CP22" s="337"/>
      <c r="CQ22" s="338"/>
      <c r="CR22" s="338"/>
      <c r="CS22" s="339"/>
      <c r="CT22" s="323"/>
      <c r="CU22" s="323"/>
      <c r="CV22" s="324"/>
      <c r="CW22" s="325"/>
      <c r="CX22" s="325"/>
      <c r="CY22" s="326"/>
      <c r="CZ22" s="323"/>
      <c r="DA22" s="323"/>
      <c r="DB22" s="324"/>
      <c r="DC22" s="169"/>
      <c r="DD22" s="169">
        <v>1</v>
      </c>
      <c r="DE22" s="170"/>
      <c r="DF22" s="171"/>
      <c r="DG22" s="170"/>
      <c r="DH22" s="170"/>
      <c r="DI22" s="29"/>
    </row>
    <row r="23" spans="1:115" s="28" customFormat="1" ht="24.75" customHeight="1">
      <c r="A23" s="257">
        <f>'Danh muc'!A23</f>
        <v>16</v>
      </c>
      <c r="B23" s="258">
        <f>'Danh muc'!B23</f>
        <v>24111800</v>
      </c>
      <c r="C23" s="259" t="str">
        <f>'Danh muc'!C23</f>
        <v>Hồ Ngọc Quế Trinh</v>
      </c>
      <c r="D23" s="258" t="str">
        <f>'Danh muc'!E23</f>
        <v>QC</v>
      </c>
      <c r="E23" s="202">
        <f t="shared" si="0"/>
        <v>0</v>
      </c>
      <c r="F23" s="202">
        <f t="shared" si="1"/>
        <v>0</v>
      </c>
      <c r="G23" s="202">
        <f t="shared" si="2"/>
        <v>0</v>
      </c>
      <c r="H23" s="203">
        <f t="shared" si="3"/>
        <v>0</v>
      </c>
      <c r="I23" s="204">
        <f t="shared" si="3"/>
        <v>0</v>
      </c>
      <c r="J23" s="203">
        <f t="shared" si="4"/>
        <v>0</v>
      </c>
      <c r="K23" s="205">
        <f t="shared" si="5"/>
        <v>0</v>
      </c>
      <c r="L23" s="206">
        <f t="shared" si="6"/>
        <v>0</v>
      </c>
      <c r="M23" s="207">
        <f t="shared" si="7"/>
        <v>0</v>
      </c>
      <c r="N23" s="336"/>
      <c r="O23" s="336"/>
      <c r="P23" s="337"/>
      <c r="Q23" s="338"/>
      <c r="R23" s="338"/>
      <c r="S23" s="339"/>
      <c r="T23" s="336"/>
      <c r="U23" s="336"/>
      <c r="V23" s="337"/>
      <c r="W23" s="338"/>
      <c r="X23" s="338"/>
      <c r="Y23" s="339"/>
      <c r="Z23" s="336"/>
      <c r="AA23" s="336"/>
      <c r="AB23" s="337"/>
      <c r="AC23" s="338"/>
      <c r="AD23" s="338"/>
      <c r="AE23" s="339"/>
      <c r="AF23" s="336"/>
      <c r="AG23" s="336"/>
      <c r="AH23" s="337"/>
      <c r="AI23" s="338"/>
      <c r="AJ23" s="338"/>
      <c r="AK23" s="339"/>
      <c r="AL23" s="336"/>
      <c r="AM23" s="336"/>
      <c r="AN23" s="337"/>
      <c r="AO23" s="338"/>
      <c r="AP23" s="338"/>
      <c r="AQ23" s="339"/>
      <c r="AR23" s="336"/>
      <c r="AS23" s="336"/>
      <c r="AT23" s="337"/>
      <c r="AU23" s="338"/>
      <c r="AV23" s="338"/>
      <c r="AW23" s="339"/>
      <c r="AX23" s="336"/>
      <c r="AY23" s="336"/>
      <c r="AZ23" s="337"/>
      <c r="BA23" s="338"/>
      <c r="BB23" s="338"/>
      <c r="BC23" s="339"/>
      <c r="BD23" s="336"/>
      <c r="BE23" s="336"/>
      <c r="BF23" s="337"/>
      <c r="BG23" s="338"/>
      <c r="BH23" s="338"/>
      <c r="BI23" s="339"/>
      <c r="BJ23" s="336"/>
      <c r="BK23" s="336"/>
      <c r="BL23" s="337"/>
      <c r="BM23" s="338"/>
      <c r="BN23" s="338"/>
      <c r="BO23" s="339"/>
      <c r="BP23" s="336"/>
      <c r="BQ23" s="336"/>
      <c r="BR23" s="337"/>
      <c r="BS23" s="338"/>
      <c r="BT23" s="338"/>
      <c r="BU23" s="339"/>
      <c r="BV23" s="336"/>
      <c r="BW23" s="336"/>
      <c r="BX23" s="337"/>
      <c r="BY23" s="338"/>
      <c r="BZ23" s="338"/>
      <c r="CA23" s="339"/>
      <c r="CB23" s="336"/>
      <c r="CC23" s="336"/>
      <c r="CD23" s="337"/>
      <c r="CE23" s="338"/>
      <c r="CF23" s="338"/>
      <c r="CG23" s="339"/>
      <c r="CH23" s="336"/>
      <c r="CI23" s="336"/>
      <c r="CJ23" s="337"/>
      <c r="CK23" s="338"/>
      <c r="CL23" s="338"/>
      <c r="CM23" s="339"/>
      <c r="CN23" s="336"/>
      <c r="CO23" s="336"/>
      <c r="CP23" s="337"/>
      <c r="CQ23" s="338"/>
      <c r="CR23" s="338"/>
      <c r="CS23" s="339"/>
      <c r="CT23" s="323"/>
      <c r="CU23" s="323"/>
      <c r="CV23" s="324"/>
      <c r="CW23" s="325"/>
      <c r="CX23" s="325"/>
      <c r="CY23" s="326"/>
      <c r="CZ23" s="323"/>
      <c r="DA23" s="323"/>
      <c r="DB23" s="324"/>
      <c r="DC23" s="169"/>
      <c r="DD23" s="169">
        <v>1</v>
      </c>
      <c r="DE23" s="170"/>
      <c r="DF23" s="171"/>
      <c r="DG23" s="170"/>
      <c r="DH23" s="170"/>
      <c r="DI23" s="29"/>
    </row>
    <row r="24" spans="1:115" ht="24.75" customHeight="1">
      <c r="A24" s="257">
        <f>'Danh muc'!A24</f>
        <v>17</v>
      </c>
      <c r="B24" s="258">
        <f>'Danh muc'!B24</f>
        <v>24030400</v>
      </c>
      <c r="C24" s="259" t="str">
        <f>'Danh muc'!C24</f>
        <v>Ngô Dương Thùy Trang</v>
      </c>
      <c r="D24" s="258" t="str">
        <f>'Danh muc'!E24</f>
        <v>QA</v>
      </c>
      <c r="E24" s="202">
        <f t="shared" si="0"/>
        <v>0</v>
      </c>
      <c r="F24" s="202">
        <f t="shared" si="1"/>
        <v>0</v>
      </c>
      <c r="G24" s="202">
        <f t="shared" si="2"/>
        <v>0</v>
      </c>
      <c r="H24" s="203">
        <f t="shared" si="3"/>
        <v>0</v>
      </c>
      <c r="I24" s="204">
        <f t="shared" si="3"/>
        <v>0</v>
      </c>
      <c r="J24" s="203">
        <f t="shared" si="4"/>
        <v>0</v>
      </c>
      <c r="K24" s="205">
        <f t="shared" si="5"/>
        <v>0</v>
      </c>
      <c r="L24" s="206">
        <f t="shared" si="6"/>
        <v>0</v>
      </c>
      <c r="M24" s="207">
        <f t="shared" si="7"/>
        <v>0</v>
      </c>
      <c r="N24" s="336"/>
      <c r="O24" s="336"/>
      <c r="P24" s="337"/>
      <c r="Q24" s="338"/>
      <c r="R24" s="338"/>
      <c r="S24" s="339"/>
      <c r="T24" s="336"/>
      <c r="U24" s="336"/>
      <c r="V24" s="337"/>
      <c r="W24" s="338"/>
      <c r="X24" s="338"/>
      <c r="Y24" s="339"/>
      <c r="Z24" s="336"/>
      <c r="AA24" s="336"/>
      <c r="AB24" s="337"/>
      <c r="AC24" s="338"/>
      <c r="AD24" s="338"/>
      <c r="AE24" s="339"/>
      <c r="AF24" s="336"/>
      <c r="AG24" s="336"/>
      <c r="AH24" s="337"/>
      <c r="AI24" s="338"/>
      <c r="AJ24" s="338"/>
      <c r="AK24" s="339"/>
      <c r="AL24" s="336"/>
      <c r="AM24" s="336"/>
      <c r="AN24" s="337"/>
      <c r="AO24" s="338"/>
      <c r="AP24" s="338"/>
      <c r="AQ24" s="339"/>
      <c r="AR24" s="336"/>
      <c r="AS24" s="336"/>
      <c r="AT24" s="337"/>
      <c r="AU24" s="338"/>
      <c r="AV24" s="338"/>
      <c r="AW24" s="339"/>
      <c r="AX24" s="336"/>
      <c r="AY24" s="336"/>
      <c r="AZ24" s="337"/>
      <c r="BA24" s="338"/>
      <c r="BB24" s="338"/>
      <c r="BC24" s="339"/>
      <c r="BD24" s="336"/>
      <c r="BE24" s="336"/>
      <c r="BF24" s="337"/>
      <c r="BG24" s="338"/>
      <c r="BH24" s="338"/>
      <c r="BI24" s="339"/>
      <c r="BJ24" s="336"/>
      <c r="BK24" s="336"/>
      <c r="BL24" s="337"/>
      <c r="BM24" s="338"/>
      <c r="BN24" s="338"/>
      <c r="BO24" s="339"/>
      <c r="BP24" s="336"/>
      <c r="BQ24" s="336"/>
      <c r="BR24" s="337"/>
      <c r="BS24" s="338"/>
      <c r="BT24" s="338"/>
      <c r="BU24" s="339"/>
      <c r="BV24" s="336"/>
      <c r="BW24" s="336"/>
      <c r="BX24" s="337"/>
      <c r="BY24" s="338"/>
      <c r="BZ24" s="338"/>
      <c r="CA24" s="339"/>
      <c r="CB24" s="336"/>
      <c r="CC24" s="336"/>
      <c r="CD24" s="337"/>
      <c r="CE24" s="338"/>
      <c r="CF24" s="338"/>
      <c r="CG24" s="339"/>
      <c r="CH24" s="336"/>
      <c r="CI24" s="336"/>
      <c r="CJ24" s="337"/>
      <c r="CK24" s="338"/>
      <c r="CL24" s="338"/>
      <c r="CM24" s="339"/>
      <c r="CN24" s="336"/>
      <c r="CO24" s="336"/>
      <c r="CP24" s="337"/>
      <c r="CQ24" s="338"/>
      <c r="CR24" s="338"/>
      <c r="CS24" s="339"/>
      <c r="CT24" s="323"/>
      <c r="CU24" s="323"/>
      <c r="CV24" s="324"/>
      <c r="CW24" s="325"/>
      <c r="CX24" s="325"/>
      <c r="CY24" s="326"/>
      <c r="CZ24" s="323"/>
      <c r="DA24" s="323"/>
      <c r="DB24" s="324"/>
      <c r="DC24" s="169"/>
      <c r="DD24" s="169">
        <v>1</v>
      </c>
      <c r="DE24" s="170"/>
      <c r="DF24" s="171"/>
      <c r="DG24" s="170"/>
      <c r="DH24" s="170"/>
      <c r="DI24" s="29"/>
      <c r="DJ24" s="28"/>
      <c r="DK24" s="28"/>
    </row>
    <row r="25" spans="1:115" ht="24.75" customHeight="1">
      <c r="A25" s="257">
        <f>'Danh muc'!A25</f>
        <v>18</v>
      </c>
      <c r="B25" s="258">
        <f>'Danh muc'!B25</f>
        <v>21120700</v>
      </c>
      <c r="C25" s="259" t="str">
        <f>'Danh muc'!C25</f>
        <v>Phan Thị Ngọc Hân</v>
      </c>
      <c r="D25" s="258" t="str">
        <f>'Danh muc'!E25</f>
        <v>QA</v>
      </c>
      <c r="E25" s="202">
        <f t="shared" si="0"/>
        <v>0</v>
      </c>
      <c r="F25" s="202">
        <f t="shared" si="1"/>
        <v>0</v>
      </c>
      <c r="G25" s="202">
        <f t="shared" si="2"/>
        <v>0</v>
      </c>
      <c r="H25" s="203">
        <f t="shared" si="3"/>
        <v>0</v>
      </c>
      <c r="I25" s="204">
        <f t="shared" si="3"/>
        <v>0</v>
      </c>
      <c r="J25" s="203">
        <f t="shared" si="4"/>
        <v>0</v>
      </c>
      <c r="K25" s="205">
        <f t="shared" si="5"/>
        <v>0</v>
      </c>
      <c r="L25" s="206">
        <f t="shared" si="6"/>
        <v>0</v>
      </c>
      <c r="M25" s="207">
        <f t="shared" si="7"/>
        <v>0</v>
      </c>
      <c r="N25" s="336"/>
      <c r="O25" s="336"/>
      <c r="P25" s="337"/>
      <c r="Q25" s="338"/>
      <c r="R25" s="338"/>
      <c r="S25" s="339"/>
      <c r="T25" s="336"/>
      <c r="U25" s="336"/>
      <c r="V25" s="337"/>
      <c r="W25" s="338"/>
      <c r="X25" s="338"/>
      <c r="Y25" s="339"/>
      <c r="Z25" s="336"/>
      <c r="AA25" s="336"/>
      <c r="AB25" s="337"/>
      <c r="AC25" s="338"/>
      <c r="AD25" s="338"/>
      <c r="AE25" s="339"/>
      <c r="AF25" s="336"/>
      <c r="AG25" s="336"/>
      <c r="AH25" s="337"/>
      <c r="AI25" s="338"/>
      <c r="AJ25" s="338"/>
      <c r="AK25" s="339"/>
      <c r="AL25" s="336"/>
      <c r="AM25" s="336"/>
      <c r="AN25" s="337"/>
      <c r="AO25" s="338"/>
      <c r="AP25" s="338"/>
      <c r="AQ25" s="339"/>
      <c r="AR25" s="336"/>
      <c r="AS25" s="336"/>
      <c r="AT25" s="337"/>
      <c r="AU25" s="338"/>
      <c r="AV25" s="338"/>
      <c r="AW25" s="339"/>
      <c r="AX25" s="336"/>
      <c r="AY25" s="336"/>
      <c r="AZ25" s="337"/>
      <c r="BA25" s="338"/>
      <c r="BB25" s="338"/>
      <c r="BC25" s="339"/>
      <c r="BD25" s="336"/>
      <c r="BE25" s="336"/>
      <c r="BF25" s="337"/>
      <c r="BG25" s="338"/>
      <c r="BH25" s="338"/>
      <c r="BI25" s="339"/>
      <c r="BJ25" s="336"/>
      <c r="BK25" s="336"/>
      <c r="BL25" s="337"/>
      <c r="BM25" s="338"/>
      <c r="BN25" s="338"/>
      <c r="BO25" s="339"/>
      <c r="BP25" s="336"/>
      <c r="BQ25" s="336"/>
      <c r="BR25" s="337"/>
      <c r="BS25" s="338"/>
      <c r="BT25" s="338"/>
      <c r="BU25" s="339"/>
      <c r="BV25" s="336"/>
      <c r="BW25" s="336"/>
      <c r="BX25" s="337"/>
      <c r="BY25" s="338"/>
      <c r="BZ25" s="338"/>
      <c r="CA25" s="339"/>
      <c r="CB25" s="336"/>
      <c r="CC25" s="336"/>
      <c r="CD25" s="337"/>
      <c r="CE25" s="338"/>
      <c r="CF25" s="338"/>
      <c r="CG25" s="339"/>
      <c r="CH25" s="336"/>
      <c r="CI25" s="336"/>
      <c r="CJ25" s="337"/>
      <c r="CK25" s="338"/>
      <c r="CL25" s="338"/>
      <c r="CM25" s="339"/>
      <c r="CN25" s="336"/>
      <c r="CO25" s="336"/>
      <c r="CP25" s="337"/>
      <c r="CQ25" s="338"/>
      <c r="CR25" s="338"/>
      <c r="CS25" s="339"/>
      <c r="CT25" s="323"/>
      <c r="CU25" s="323"/>
      <c r="CV25" s="324"/>
      <c r="CW25" s="325"/>
      <c r="CX25" s="325"/>
      <c r="CY25" s="326"/>
      <c r="CZ25" s="323"/>
      <c r="DA25" s="323"/>
      <c r="DB25" s="324"/>
      <c r="DC25" s="169"/>
      <c r="DD25" s="169">
        <v>1</v>
      </c>
      <c r="DE25" s="170"/>
      <c r="DF25" s="171"/>
      <c r="DG25" s="170"/>
      <c r="DH25" s="170"/>
      <c r="DI25" s="29"/>
      <c r="DJ25" s="28"/>
      <c r="DK25" s="28"/>
    </row>
    <row r="26" spans="1:115" ht="24.75" customHeight="1">
      <c r="A26" s="257">
        <f>'Danh muc'!A26</f>
        <v>19</v>
      </c>
      <c r="B26" s="258">
        <f>'Danh muc'!B26</f>
        <v>20040800</v>
      </c>
      <c r="C26" s="259" t="str">
        <f>'Danh muc'!C26</f>
        <v>Nguyễn Thị Huế Trân</v>
      </c>
      <c r="D26" s="258" t="str">
        <f>'Danh muc'!E26</f>
        <v>Ngoại Quan</v>
      </c>
      <c r="E26" s="202">
        <f t="shared" si="0"/>
        <v>0</v>
      </c>
      <c r="F26" s="202">
        <f t="shared" si="1"/>
        <v>0</v>
      </c>
      <c r="G26" s="202">
        <f t="shared" si="2"/>
        <v>0</v>
      </c>
      <c r="H26" s="203">
        <f t="shared" si="3"/>
        <v>0</v>
      </c>
      <c r="I26" s="204">
        <f t="shared" si="3"/>
        <v>0</v>
      </c>
      <c r="J26" s="203">
        <f t="shared" si="4"/>
        <v>0</v>
      </c>
      <c r="K26" s="205">
        <f t="shared" si="5"/>
        <v>0</v>
      </c>
      <c r="L26" s="206">
        <f t="shared" si="6"/>
        <v>0</v>
      </c>
      <c r="M26" s="207">
        <f t="shared" si="7"/>
        <v>0</v>
      </c>
      <c r="N26" s="336"/>
      <c r="O26" s="336"/>
      <c r="P26" s="337"/>
      <c r="Q26" s="338"/>
      <c r="R26" s="338"/>
      <c r="S26" s="339"/>
      <c r="T26" s="336"/>
      <c r="U26" s="336"/>
      <c r="V26" s="337"/>
      <c r="W26" s="338"/>
      <c r="X26" s="338"/>
      <c r="Y26" s="339"/>
      <c r="Z26" s="336"/>
      <c r="AA26" s="336"/>
      <c r="AB26" s="337"/>
      <c r="AC26" s="338"/>
      <c r="AD26" s="338"/>
      <c r="AE26" s="339"/>
      <c r="AF26" s="336"/>
      <c r="AG26" s="336"/>
      <c r="AH26" s="337"/>
      <c r="AI26" s="338"/>
      <c r="AJ26" s="338"/>
      <c r="AK26" s="339"/>
      <c r="AL26" s="336"/>
      <c r="AM26" s="336"/>
      <c r="AN26" s="337"/>
      <c r="AO26" s="338"/>
      <c r="AP26" s="338"/>
      <c r="AQ26" s="339"/>
      <c r="AR26" s="336"/>
      <c r="AS26" s="336"/>
      <c r="AT26" s="337"/>
      <c r="AU26" s="338"/>
      <c r="AV26" s="338"/>
      <c r="AW26" s="339"/>
      <c r="AX26" s="336"/>
      <c r="AY26" s="336"/>
      <c r="AZ26" s="337"/>
      <c r="BA26" s="338"/>
      <c r="BB26" s="338"/>
      <c r="BC26" s="339"/>
      <c r="BD26" s="336"/>
      <c r="BE26" s="336"/>
      <c r="BF26" s="337"/>
      <c r="BG26" s="338"/>
      <c r="BH26" s="338"/>
      <c r="BI26" s="339"/>
      <c r="BJ26" s="336"/>
      <c r="BK26" s="336"/>
      <c r="BL26" s="337"/>
      <c r="BM26" s="338"/>
      <c r="BN26" s="338"/>
      <c r="BO26" s="339"/>
      <c r="BP26" s="336"/>
      <c r="BQ26" s="336"/>
      <c r="BR26" s="337"/>
      <c r="BS26" s="338"/>
      <c r="BT26" s="338"/>
      <c r="BU26" s="339"/>
      <c r="BV26" s="336"/>
      <c r="BW26" s="336"/>
      <c r="BX26" s="337"/>
      <c r="BY26" s="338"/>
      <c r="BZ26" s="338"/>
      <c r="CA26" s="339"/>
      <c r="CB26" s="336"/>
      <c r="CC26" s="336"/>
      <c r="CD26" s="337"/>
      <c r="CE26" s="338"/>
      <c r="CF26" s="338"/>
      <c r="CG26" s="339"/>
      <c r="CH26" s="336"/>
      <c r="CI26" s="336"/>
      <c r="CJ26" s="337"/>
      <c r="CK26" s="338"/>
      <c r="CL26" s="338"/>
      <c r="CM26" s="339"/>
      <c r="CN26" s="336"/>
      <c r="CO26" s="336"/>
      <c r="CP26" s="337"/>
      <c r="CQ26" s="338"/>
      <c r="CR26" s="338"/>
      <c r="CS26" s="339"/>
      <c r="CT26" s="323"/>
      <c r="CU26" s="323"/>
      <c r="CV26" s="324"/>
      <c r="CW26" s="325"/>
      <c r="CX26" s="325"/>
      <c r="CY26" s="326"/>
      <c r="CZ26" s="323"/>
      <c r="DA26" s="323"/>
      <c r="DB26" s="324"/>
      <c r="DC26" s="169"/>
      <c r="DD26" s="169">
        <v>1</v>
      </c>
      <c r="DE26" s="170"/>
      <c r="DF26" s="171"/>
      <c r="DG26" s="170"/>
      <c r="DH26" s="170"/>
    </row>
    <row r="27" spans="1:115" ht="24.75" customHeight="1">
      <c r="A27" s="257">
        <f>'Danh muc'!A27</f>
        <v>20</v>
      </c>
      <c r="B27" s="258">
        <f>'Danh muc'!B27</f>
        <v>19010800</v>
      </c>
      <c r="C27" s="259" t="str">
        <f>'Danh muc'!C27</f>
        <v>Nguyễn Thị Bé Năm</v>
      </c>
      <c r="D27" s="258" t="str">
        <f>'Danh muc'!E27</f>
        <v>Ngoại Quan</v>
      </c>
      <c r="E27" s="202">
        <f t="shared" si="0"/>
        <v>0</v>
      </c>
      <c r="F27" s="202">
        <f t="shared" si="1"/>
        <v>0</v>
      </c>
      <c r="G27" s="202">
        <f t="shared" si="2"/>
        <v>0</v>
      </c>
      <c r="H27" s="203">
        <f t="shared" si="3"/>
        <v>0</v>
      </c>
      <c r="I27" s="204">
        <f t="shared" si="3"/>
        <v>0</v>
      </c>
      <c r="J27" s="203">
        <f t="shared" si="4"/>
        <v>0</v>
      </c>
      <c r="K27" s="205">
        <f t="shared" si="5"/>
        <v>0</v>
      </c>
      <c r="L27" s="206">
        <f t="shared" si="6"/>
        <v>0</v>
      </c>
      <c r="M27" s="207">
        <f t="shared" si="7"/>
        <v>0</v>
      </c>
      <c r="N27" s="336"/>
      <c r="O27" s="336"/>
      <c r="P27" s="337"/>
      <c r="Q27" s="338"/>
      <c r="R27" s="338"/>
      <c r="S27" s="339"/>
      <c r="T27" s="336"/>
      <c r="U27" s="336"/>
      <c r="V27" s="337"/>
      <c r="W27" s="338"/>
      <c r="X27" s="338"/>
      <c r="Y27" s="339"/>
      <c r="Z27" s="336"/>
      <c r="AA27" s="336"/>
      <c r="AB27" s="337"/>
      <c r="AC27" s="338"/>
      <c r="AD27" s="338"/>
      <c r="AE27" s="339"/>
      <c r="AF27" s="336"/>
      <c r="AG27" s="336"/>
      <c r="AH27" s="337"/>
      <c r="AI27" s="338"/>
      <c r="AJ27" s="338"/>
      <c r="AK27" s="339"/>
      <c r="AL27" s="336"/>
      <c r="AM27" s="336"/>
      <c r="AN27" s="337"/>
      <c r="AO27" s="338"/>
      <c r="AP27" s="338"/>
      <c r="AQ27" s="339"/>
      <c r="AR27" s="336"/>
      <c r="AS27" s="336"/>
      <c r="AT27" s="337"/>
      <c r="AU27" s="338"/>
      <c r="AV27" s="338"/>
      <c r="AW27" s="339"/>
      <c r="AX27" s="336"/>
      <c r="AY27" s="336"/>
      <c r="AZ27" s="337"/>
      <c r="BA27" s="338"/>
      <c r="BB27" s="338"/>
      <c r="BC27" s="339"/>
      <c r="BD27" s="336"/>
      <c r="BE27" s="336"/>
      <c r="BF27" s="337"/>
      <c r="BG27" s="338"/>
      <c r="BH27" s="338"/>
      <c r="BI27" s="339"/>
      <c r="BJ27" s="336"/>
      <c r="BK27" s="336"/>
      <c r="BL27" s="337"/>
      <c r="BM27" s="338"/>
      <c r="BN27" s="338"/>
      <c r="BO27" s="339"/>
      <c r="BP27" s="336"/>
      <c r="BQ27" s="336"/>
      <c r="BR27" s="337"/>
      <c r="BS27" s="338"/>
      <c r="BT27" s="338"/>
      <c r="BU27" s="339"/>
      <c r="BV27" s="336"/>
      <c r="BW27" s="336"/>
      <c r="BX27" s="337"/>
      <c r="BY27" s="338"/>
      <c r="BZ27" s="338"/>
      <c r="CA27" s="339"/>
      <c r="CB27" s="336"/>
      <c r="CC27" s="336"/>
      <c r="CD27" s="337"/>
      <c r="CE27" s="338"/>
      <c r="CF27" s="338"/>
      <c r="CG27" s="339"/>
      <c r="CH27" s="336"/>
      <c r="CI27" s="336"/>
      <c r="CJ27" s="337"/>
      <c r="CK27" s="338"/>
      <c r="CL27" s="338"/>
      <c r="CM27" s="339"/>
      <c r="CN27" s="336"/>
      <c r="CO27" s="336"/>
      <c r="CP27" s="337"/>
      <c r="CQ27" s="338"/>
      <c r="CR27" s="338"/>
      <c r="CS27" s="339"/>
      <c r="CT27" s="323"/>
      <c r="CU27" s="323"/>
      <c r="CV27" s="324"/>
      <c r="CW27" s="325"/>
      <c r="CX27" s="325"/>
      <c r="CY27" s="326"/>
      <c r="CZ27" s="323"/>
      <c r="DA27" s="323"/>
      <c r="DB27" s="324"/>
      <c r="DC27" s="169"/>
      <c r="DD27" s="169">
        <v>1</v>
      </c>
      <c r="DE27" s="170"/>
      <c r="DF27" s="171"/>
      <c r="DG27" s="170"/>
      <c r="DH27" s="170"/>
    </row>
    <row r="28" spans="1:115" s="29" customFormat="1" ht="24.75" customHeight="1">
      <c r="A28" s="257">
        <f>'Danh muc'!A28</f>
        <v>21</v>
      </c>
      <c r="B28" s="258">
        <f>'Danh muc'!B28</f>
        <v>19020100</v>
      </c>
      <c r="C28" s="259" t="str">
        <f>'Danh muc'!C28</f>
        <v>Nguyễn Thị Sang</v>
      </c>
      <c r="D28" s="258" t="str">
        <f>'Danh muc'!E28</f>
        <v>Ngoại Quan</v>
      </c>
      <c r="E28" s="202">
        <f t="shared" si="0"/>
        <v>0</v>
      </c>
      <c r="F28" s="202">
        <f t="shared" si="1"/>
        <v>0</v>
      </c>
      <c r="G28" s="202">
        <f t="shared" si="2"/>
        <v>0</v>
      </c>
      <c r="H28" s="203">
        <f t="shared" si="3"/>
        <v>0</v>
      </c>
      <c r="I28" s="204">
        <f t="shared" si="3"/>
        <v>0</v>
      </c>
      <c r="J28" s="203">
        <f t="shared" si="4"/>
        <v>0</v>
      </c>
      <c r="K28" s="205">
        <f t="shared" si="5"/>
        <v>0</v>
      </c>
      <c r="L28" s="206">
        <f t="shared" si="6"/>
        <v>0</v>
      </c>
      <c r="M28" s="207">
        <f t="shared" si="7"/>
        <v>0</v>
      </c>
      <c r="N28" s="336"/>
      <c r="O28" s="336"/>
      <c r="P28" s="337"/>
      <c r="Q28" s="338"/>
      <c r="R28" s="338"/>
      <c r="S28" s="339"/>
      <c r="T28" s="336"/>
      <c r="U28" s="336"/>
      <c r="V28" s="337"/>
      <c r="W28" s="338"/>
      <c r="X28" s="338"/>
      <c r="Y28" s="339"/>
      <c r="Z28" s="336"/>
      <c r="AA28" s="336"/>
      <c r="AB28" s="337"/>
      <c r="AC28" s="338"/>
      <c r="AD28" s="338"/>
      <c r="AE28" s="339"/>
      <c r="AF28" s="336"/>
      <c r="AG28" s="336"/>
      <c r="AH28" s="337"/>
      <c r="AI28" s="338"/>
      <c r="AJ28" s="338"/>
      <c r="AK28" s="339"/>
      <c r="AL28" s="336"/>
      <c r="AM28" s="336"/>
      <c r="AN28" s="337"/>
      <c r="AO28" s="338"/>
      <c r="AP28" s="338"/>
      <c r="AQ28" s="339"/>
      <c r="AR28" s="336"/>
      <c r="AS28" s="336"/>
      <c r="AT28" s="337"/>
      <c r="AU28" s="338"/>
      <c r="AV28" s="338"/>
      <c r="AW28" s="339"/>
      <c r="AX28" s="336"/>
      <c r="AY28" s="336"/>
      <c r="AZ28" s="337"/>
      <c r="BA28" s="338"/>
      <c r="BB28" s="338"/>
      <c r="BC28" s="339"/>
      <c r="BD28" s="336"/>
      <c r="BE28" s="336"/>
      <c r="BF28" s="337"/>
      <c r="BG28" s="338"/>
      <c r="BH28" s="338"/>
      <c r="BI28" s="339"/>
      <c r="BJ28" s="336"/>
      <c r="BK28" s="336"/>
      <c r="BL28" s="337"/>
      <c r="BM28" s="338"/>
      <c r="BN28" s="338"/>
      <c r="BO28" s="339"/>
      <c r="BP28" s="336"/>
      <c r="BQ28" s="336"/>
      <c r="BR28" s="337"/>
      <c r="BS28" s="338"/>
      <c r="BT28" s="338"/>
      <c r="BU28" s="339"/>
      <c r="BV28" s="336"/>
      <c r="BW28" s="336"/>
      <c r="BX28" s="337"/>
      <c r="BY28" s="338"/>
      <c r="BZ28" s="338"/>
      <c r="CA28" s="339"/>
      <c r="CB28" s="336"/>
      <c r="CC28" s="336"/>
      <c r="CD28" s="337"/>
      <c r="CE28" s="338"/>
      <c r="CF28" s="338"/>
      <c r="CG28" s="339"/>
      <c r="CH28" s="336"/>
      <c r="CI28" s="336"/>
      <c r="CJ28" s="337"/>
      <c r="CK28" s="338"/>
      <c r="CL28" s="338"/>
      <c r="CM28" s="339"/>
      <c r="CN28" s="336"/>
      <c r="CO28" s="336"/>
      <c r="CP28" s="337"/>
      <c r="CQ28" s="338"/>
      <c r="CR28" s="338"/>
      <c r="CS28" s="339"/>
      <c r="CT28" s="323"/>
      <c r="CU28" s="323"/>
      <c r="CV28" s="324"/>
      <c r="CW28" s="325"/>
      <c r="CX28" s="325"/>
      <c r="CY28" s="326"/>
      <c r="CZ28" s="323"/>
      <c r="DA28" s="323"/>
      <c r="DB28" s="324"/>
      <c r="DC28" s="169"/>
      <c r="DD28" s="169">
        <v>1</v>
      </c>
      <c r="DE28" s="170"/>
      <c r="DF28" s="171"/>
      <c r="DG28" s="170"/>
      <c r="DH28" s="170"/>
    </row>
    <row r="29" spans="1:115" ht="24.75" customHeight="1">
      <c r="A29" s="257">
        <f>'Danh muc'!A29</f>
        <v>22</v>
      </c>
      <c r="B29" s="258">
        <f>'Danh muc'!B29</f>
        <v>22011800</v>
      </c>
      <c r="C29" s="259" t="str">
        <f>'Danh muc'!C29</f>
        <v>Lê Thị Kim Chi</v>
      </c>
      <c r="D29" s="258" t="str">
        <f>'Danh muc'!E29</f>
        <v>Ngoại Quan</v>
      </c>
      <c r="E29" s="202">
        <f t="shared" si="0"/>
        <v>0</v>
      </c>
      <c r="F29" s="202">
        <f t="shared" si="1"/>
        <v>0</v>
      </c>
      <c r="G29" s="202">
        <f t="shared" si="2"/>
        <v>0</v>
      </c>
      <c r="H29" s="203">
        <f t="shared" si="3"/>
        <v>0</v>
      </c>
      <c r="I29" s="204">
        <f t="shared" si="3"/>
        <v>0</v>
      </c>
      <c r="J29" s="203">
        <f t="shared" si="4"/>
        <v>0</v>
      </c>
      <c r="K29" s="205">
        <f t="shared" si="5"/>
        <v>0</v>
      </c>
      <c r="L29" s="206">
        <f t="shared" si="6"/>
        <v>0</v>
      </c>
      <c r="M29" s="207">
        <f t="shared" si="7"/>
        <v>0</v>
      </c>
      <c r="N29" s="336"/>
      <c r="O29" s="336"/>
      <c r="P29" s="337"/>
      <c r="Q29" s="338"/>
      <c r="R29" s="338"/>
      <c r="S29" s="339"/>
      <c r="T29" s="336"/>
      <c r="U29" s="336"/>
      <c r="V29" s="337"/>
      <c r="W29" s="338"/>
      <c r="X29" s="338"/>
      <c r="Y29" s="339"/>
      <c r="Z29" s="336"/>
      <c r="AA29" s="336"/>
      <c r="AB29" s="337"/>
      <c r="AC29" s="338"/>
      <c r="AD29" s="338"/>
      <c r="AE29" s="339"/>
      <c r="AF29" s="336"/>
      <c r="AG29" s="336"/>
      <c r="AH29" s="337"/>
      <c r="AI29" s="338"/>
      <c r="AJ29" s="338"/>
      <c r="AK29" s="339"/>
      <c r="AL29" s="336"/>
      <c r="AM29" s="336"/>
      <c r="AN29" s="337"/>
      <c r="AO29" s="338"/>
      <c r="AP29" s="338"/>
      <c r="AQ29" s="339"/>
      <c r="AR29" s="336"/>
      <c r="AS29" s="336"/>
      <c r="AT29" s="337"/>
      <c r="AU29" s="338"/>
      <c r="AV29" s="338"/>
      <c r="AW29" s="339"/>
      <c r="AX29" s="336"/>
      <c r="AY29" s="336"/>
      <c r="AZ29" s="337"/>
      <c r="BA29" s="338"/>
      <c r="BB29" s="338"/>
      <c r="BC29" s="339"/>
      <c r="BD29" s="336"/>
      <c r="BE29" s="336"/>
      <c r="BF29" s="337"/>
      <c r="BG29" s="338"/>
      <c r="BH29" s="338"/>
      <c r="BI29" s="339"/>
      <c r="BJ29" s="336"/>
      <c r="BK29" s="336"/>
      <c r="BL29" s="337"/>
      <c r="BM29" s="338"/>
      <c r="BN29" s="338"/>
      <c r="BO29" s="339"/>
      <c r="BP29" s="336"/>
      <c r="BQ29" s="336"/>
      <c r="BR29" s="337"/>
      <c r="BS29" s="338"/>
      <c r="BT29" s="338"/>
      <c r="BU29" s="339"/>
      <c r="BV29" s="336"/>
      <c r="BW29" s="336"/>
      <c r="BX29" s="337"/>
      <c r="BY29" s="338"/>
      <c r="BZ29" s="338"/>
      <c r="CA29" s="339"/>
      <c r="CB29" s="336"/>
      <c r="CC29" s="336"/>
      <c r="CD29" s="337"/>
      <c r="CE29" s="338"/>
      <c r="CF29" s="338"/>
      <c r="CG29" s="339"/>
      <c r="CH29" s="336"/>
      <c r="CI29" s="336"/>
      <c r="CJ29" s="337"/>
      <c r="CK29" s="338"/>
      <c r="CL29" s="338"/>
      <c r="CM29" s="339"/>
      <c r="CN29" s="336"/>
      <c r="CO29" s="336"/>
      <c r="CP29" s="337"/>
      <c r="CQ29" s="338"/>
      <c r="CR29" s="338"/>
      <c r="CS29" s="339"/>
      <c r="CT29" s="323"/>
      <c r="CU29" s="323"/>
      <c r="CV29" s="324"/>
      <c r="CW29" s="325"/>
      <c r="CX29" s="325"/>
      <c r="CY29" s="326"/>
      <c r="CZ29" s="323"/>
      <c r="DA29" s="323"/>
      <c r="DB29" s="324"/>
      <c r="DC29" s="169"/>
      <c r="DD29" s="169">
        <v>1</v>
      </c>
      <c r="DE29" s="170"/>
      <c r="DF29" s="171"/>
      <c r="DG29" s="170"/>
      <c r="DH29" s="170"/>
      <c r="DI29" s="29"/>
      <c r="DJ29" s="29"/>
      <c r="DK29" s="29"/>
    </row>
    <row r="30" spans="1:115" ht="24.75" customHeight="1">
      <c r="A30" s="257">
        <f>'Danh muc'!A30</f>
        <v>23</v>
      </c>
      <c r="B30" s="258">
        <f>'Danh muc'!B30</f>
        <v>22050900</v>
      </c>
      <c r="C30" s="259" t="str">
        <f>'Danh muc'!C30</f>
        <v>Nguyễn Thị Diễm Mi</v>
      </c>
      <c r="D30" s="258" t="str">
        <f>'Danh muc'!E30</f>
        <v>Ngoại Quan</v>
      </c>
      <c r="E30" s="202">
        <f t="shared" si="0"/>
        <v>0</v>
      </c>
      <c r="F30" s="202">
        <f t="shared" si="1"/>
        <v>0</v>
      </c>
      <c r="G30" s="202">
        <f t="shared" si="2"/>
        <v>0</v>
      </c>
      <c r="H30" s="203">
        <f t="shared" si="3"/>
        <v>0</v>
      </c>
      <c r="I30" s="204">
        <f t="shared" si="3"/>
        <v>0</v>
      </c>
      <c r="J30" s="203">
        <f t="shared" si="4"/>
        <v>0</v>
      </c>
      <c r="K30" s="205">
        <f t="shared" si="5"/>
        <v>0</v>
      </c>
      <c r="L30" s="206">
        <f t="shared" si="6"/>
        <v>0</v>
      </c>
      <c r="M30" s="207">
        <f t="shared" si="7"/>
        <v>0</v>
      </c>
      <c r="N30" s="336"/>
      <c r="O30" s="336"/>
      <c r="P30" s="337"/>
      <c r="Q30" s="338"/>
      <c r="R30" s="338"/>
      <c r="S30" s="339"/>
      <c r="T30" s="336"/>
      <c r="U30" s="336"/>
      <c r="V30" s="337"/>
      <c r="W30" s="338"/>
      <c r="X30" s="338"/>
      <c r="Y30" s="339"/>
      <c r="Z30" s="336"/>
      <c r="AA30" s="336"/>
      <c r="AB30" s="337"/>
      <c r="AC30" s="338"/>
      <c r="AD30" s="338"/>
      <c r="AE30" s="339"/>
      <c r="AF30" s="336"/>
      <c r="AG30" s="336"/>
      <c r="AH30" s="337"/>
      <c r="AI30" s="338"/>
      <c r="AJ30" s="338"/>
      <c r="AK30" s="339"/>
      <c r="AL30" s="336"/>
      <c r="AM30" s="336"/>
      <c r="AN30" s="337"/>
      <c r="AO30" s="338"/>
      <c r="AP30" s="338"/>
      <c r="AQ30" s="339"/>
      <c r="AR30" s="336"/>
      <c r="AS30" s="336"/>
      <c r="AT30" s="337"/>
      <c r="AU30" s="338"/>
      <c r="AV30" s="338"/>
      <c r="AW30" s="339"/>
      <c r="AX30" s="336"/>
      <c r="AY30" s="336"/>
      <c r="AZ30" s="337"/>
      <c r="BA30" s="338"/>
      <c r="BB30" s="338"/>
      <c r="BC30" s="339"/>
      <c r="BD30" s="336"/>
      <c r="BE30" s="336"/>
      <c r="BF30" s="337"/>
      <c r="BG30" s="338"/>
      <c r="BH30" s="338"/>
      <c r="BI30" s="339"/>
      <c r="BJ30" s="336"/>
      <c r="BK30" s="336"/>
      <c r="BL30" s="337"/>
      <c r="BM30" s="338"/>
      <c r="BN30" s="338"/>
      <c r="BO30" s="339"/>
      <c r="BP30" s="336"/>
      <c r="BQ30" s="336"/>
      <c r="BR30" s="337"/>
      <c r="BS30" s="338"/>
      <c r="BT30" s="338"/>
      <c r="BU30" s="339"/>
      <c r="BV30" s="336"/>
      <c r="BW30" s="336"/>
      <c r="BX30" s="337"/>
      <c r="BY30" s="338"/>
      <c r="BZ30" s="338"/>
      <c r="CA30" s="339"/>
      <c r="CB30" s="336"/>
      <c r="CC30" s="336"/>
      <c r="CD30" s="337"/>
      <c r="CE30" s="338"/>
      <c r="CF30" s="338"/>
      <c r="CG30" s="339"/>
      <c r="CH30" s="336"/>
      <c r="CI30" s="336"/>
      <c r="CJ30" s="337"/>
      <c r="CK30" s="338"/>
      <c r="CL30" s="338"/>
      <c r="CM30" s="339"/>
      <c r="CN30" s="336"/>
      <c r="CO30" s="336"/>
      <c r="CP30" s="337"/>
      <c r="CQ30" s="338"/>
      <c r="CR30" s="338"/>
      <c r="CS30" s="339"/>
      <c r="CT30" s="323"/>
      <c r="CU30" s="323"/>
      <c r="CV30" s="324"/>
      <c r="CW30" s="325"/>
      <c r="CX30" s="325"/>
      <c r="CY30" s="326"/>
      <c r="CZ30" s="323"/>
      <c r="DA30" s="323"/>
      <c r="DB30" s="324"/>
      <c r="DC30" s="169"/>
      <c r="DD30" s="169">
        <v>1</v>
      </c>
      <c r="DE30" s="172"/>
      <c r="DF30" s="173"/>
      <c r="DG30" s="172"/>
      <c r="DH30" s="172"/>
      <c r="DI30" s="29"/>
      <c r="DJ30" s="28"/>
      <c r="DK30" s="28"/>
    </row>
    <row r="31" spans="1:115" ht="24.75" customHeight="1">
      <c r="A31" s="257">
        <f>'Danh muc'!A31</f>
        <v>24</v>
      </c>
      <c r="B31" s="258">
        <f>'Danh muc'!B31</f>
        <v>22111800</v>
      </c>
      <c r="C31" s="259" t="str">
        <f>'Danh muc'!C31</f>
        <v>Lê Thị Kim Thoa</v>
      </c>
      <c r="D31" s="258" t="str">
        <f>'Danh muc'!E31</f>
        <v>Ngoại Quan</v>
      </c>
      <c r="E31" s="202">
        <f t="shared" si="0"/>
        <v>0</v>
      </c>
      <c r="F31" s="202">
        <f t="shared" si="1"/>
        <v>0</v>
      </c>
      <c r="G31" s="202">
        <f t="shared" si="2"/>
        <v>0</v>
      </c>
      <c r="H31" s="203">
        <f t="shared" si="3"/>
        <v>0</v>
      </c>
      <c r="I31" s="204">
        <f t="shared" si="3"/>
        <v>0</v>
      </c>
      <c r="J31" s="203">
        <f t="shared" si="4"/>
        <v>0</v>
      </c>
      <c r="K31" s="205">
        <f t="shared" si="5"/>
        <v>0</v>
      </c>
      <c r="L31" s="206">
        <f t="shared" si="6"/>
        <v>0</v>
      </c>
      <c r="M31" s="207">
        <f t="shared" si="7"/>
        <v>0</v>
      </c>
      <c r="N31" s="336"/>
      <c r="O31" s="336"/>
      <c r="P31" s="337"/>
      <c r="Q31" s="338"/>
      <c r="R31" s="338"/>
      <c r="S31" s="339"/>
      <c r="T31" s="336"/>
      <c r="U31" s="336"/>
      <c r="V31" s="337"/>
      <c r="W31" s="338"/>
      <c r="X31" s="338"/>
      <c r="Y31" s="339"/>
      <c r="Z31" s="336"/>
      <c r="AA31" s="336"/>
      <c r="AB31" s="337"/>
      <c r="AC31" s="338"/>
      <c r="AD31" s="338"/>
      <c r="AE31" s="339"/>
      <c r="AF31" s="336"/>
      <c r="AG31" s="336"/>
      <c r="AH31" s="337"/>
      <c r="AI31" s="338"/>
      <c r="AJ31" s="338"/>
      <c r="AK31" s="339"/>
      <c r="AL31" s="336"/>
      <c r="AM31" s="336"/>
      <c r="AN31" s="337"/>
      <c r="AO31" s="338"/>
      <c r="AP31" s="338"/>
      <c r="AQ31" s="339"/>
      <c r="AR31" s="336"/>
      <c r="AS31" s="336"/>
      <c r="AT31" s="337"/>
      <c r="AU31" s="338"/>
      <c r="AV31" s="338"/>
      <c r="AW31" s="339"/>
      <c r="AX31" s="336"/>
      <c r="AY31" s="336"/>
      <c r="AZ31" s="337"/>
      <c r="BA31" s="338"/>
      <c r="BB31" s="338"/>
      <c r="BC31" s="339"/>
      <c r="BD31" s="336"/>
      <c r="BE31" s="336"/>
      <c r="BF31" s="337"/>
      <c r="BG31" s="338"/>
      <c r="BH31" s="338"/>
      <c r="BI31" s="339"/>
      <c r="BJ31" s="336"/>
      <c r="BK31" s="336"/>
      <c r="BL31" s="337"/>
      <c r="BM31" s="338"/>
      <c r="BN31" s="338"/>
      <c r="BO31" s="339"/>
      <c r="BP31" s="336"/>
      <c r="BQ31" s="336"/>
      <c r="BR31" s="337"/>
      <c r="BS31" s="338"/>
      <c r="BT31" s="338"/>
      <c r="BU31" s="339"/>
      <c r="BV31" s="336"/>
      <c r="BW31" s="336"/>
      <c r="BX31" s="337"/>
      <c r="BY31" s="338"/>
      <c r="BZ31" s="338"/>
      <c r="CA31" s="339"/>
      <c r="CB31" s="336"/>
      <c r="CC31" s="336"/>
      <c r="CD31" s="337"/>
      <c r="CE31" s="338"/>
      <c r="CF31" s="338"/>
      <c r="CG31" s="339"/>
      <c r="CH31" s="336"/>
      <c r="CI31" s="336"/>
      <c r="CJ31" s="337"/>
      <c r="CK31" s="338"/>
      <c r="CL31" s="338"/>
      <c r="CM31" s="339"/>
      <c r="CN31" s="336"/>
      <c r="CO31" s="336"/>
      <c r="CP31" s="337"/>
      <c r="CQ31" s="338"/>
      <c r="CR31" s="338"/>
      <c r="CS31" s="339"/>
      <c r="CT31" s="323"/>
      <c r="CU31" s="323"/>
      <c r="CV31" s="324"/>
      <c r="CW31" s="325"/>
      <c r="CX31" s="325"/>
      <c r="CY31" s="326"/>
      <c r="CZ31" s="323"/>
      <c r="DA31" s="323"/>
      <c r="DB31" s="324"/>
      <c r="DC31" s="169"/>
      <c r="DD31" s="169">
        <v>1</v>
      </c>
      <c r="DE31" s="170"/>
      <c r="DF31" s="171"/>
      <c r="DG31" s="170"/>
      <c r="DH31" s="170"/>
    </row>
    <row r="32" spans="1:115" ht="24.75" customHeight="1">
      <c r="A32" s="257">
        <f>'Danh muc'!A32</f>
        <v>25</v>
      </c>
      <c r="B32" s="258">
        <f>'Danh muc'!B32</f>
        <v>24100100</v>
      </c>
      <c r="C32" s="259" t="str">
        <f>'Danh muc'!C32</f>
        <v>Hồ Thị Du</v>
      </c>
      <c r="D32" s="258" t="str">
        <f>'Danh muc'!E32</f>
        <v>Ngoại Quan</v>
      </c>
      <c r="E32" s="202">
        <f t="shared" si="0"/>
        <v>0</v>
      </c>
      <c r="F32" s="202">
        <f t="shared" si="1"/>
        <v>0</v>
      </c>
      <c r="G32" s="202">
        <f t="shared" si="2"/>
        <v>0</v>
      </c>
      <c r="H32" s="203">
        <f t="shared" si="3"/>
        <v>0</v>
      </c>
      <c r="I32" s="204">
        <f t="shared" si="3"/>
        <v>0</v>
      </c>
      <c r="J32" s="203">
        <f t="shared" si="4"/>
        <v>0</v>
      </c>
      <c r="K32" s="205">
        <f t="shared" si="5"/>
        <v>0</v>
      </c>
      <c r="L32" s="206">
        <f t="shared" si="6"/>
        <v>0</v>
      </c>
      <c r="M32" s="207">
        <f t="shared" si="7"/>
        <v>0</v>
      </c>
      <c r="N32" s="336"/>
      <c r="O32" s="336"/>
      <c r="P32" s="337"/>
      <c r="Q32" s="338"/>
      <c r="R32" s="338"/>
      <c r="S32" s="339"/>
      <c r="T32" s="336"/>
      <c r="U32" s="336"/>
      <c r="V32" s="337"/>
      <c r="W32" s="338"/>
      <c r="X32" s="338"/>
      <c r="Y32" s="339"/>
      <c r="Z32" s="336"/>
      <c r="AA32" s="336"/>
      <c r="AB32" s="337"/>
      <c r="AC32" s="338"/>
      <c r="AD32" s="338"/>
      <c r="AE32" s="339"/>
      <c r="AF32" s="336"/>
      <c r="AG32" s="336"/>
      <c r="AH32" s="337"/>
      <c r="AI32" s="338"/>
      <c r="AJ32" s="338"/>
      <c r="AK32" s="339"/>
      <c r="AL32" s="336"/>
      <c r="AM32" s="336"/>
      <c r="AN32" s="337"/>
      <c r="AO32" s="338"/>
      <c r="AP32" s="338"/>
      <c r="AQ32" s="339"/>
      <c r="AR32" s="336"/>
      <c r="AS32" s="336"/>
      <c r="AT32" s="337"/>
      <c r="AU32" s="338"/>
      <c r="AV32" s="338"/>
      <c r="AW32" s="339"/>
      <c r="AX32" s="336"/>
      <c r="AY32" s="336"/>
      <c r="AZ32" s="337"/>
      <c r="BA32" s="338"/>
      <c r="BB32" s="338"/>
      <c r="BC32" s="339"/>
      <c r="BD32" s="336"/>
      <c r="BE32" s="336"/>
      <c r="BF32" s="337"/>
      <c r="BG32" s="338"/>
      <c r="BH32" s="338"/>
      <c r="BI32" s="339"/>
      <c r="BJ32" s="336"/>
      <c r="BK32" s="336"/>
      <c r="BL32" s="337"/>
      <c r="BM32" s="338"/>
      <c r="BN32" s="338"/>
      <c r="BO32" s="339"/>
      <c r="BP32" s="336"/>
      <c r="BQ32" s="336"/>
      <c r="BR32" s="337"/>
      <c r="BS32" s="338"/>
      <c r="BT32" s="338"/>
      <c r="BU32" s="339"/>
      <c r="BV32" s="336"/>
      <c r="BW32" s="336"/>
      <c r="BX32" s="337"/>
      <c r="BY32" s="338"/>
      <c r="BZ32" s="338"/>
      <c r="CA32" s="339"/>
      <c r="CB32" s="336"/>
      <c r="CC32" s="336"/>
      <c r="CD32" s="337"/>
      <c r="CE32" s="338"/>
      <c r="CF32" s="338"/>
      <c r="CG32" s="339"/>
      <c r="CH32" s="336"/>
      <c r="CI32" s="336"/>
      <c r="CJ32" s="337"/>
      <c r="CK32" s="338"/>
      <c r="CL32" s="338"/>
      <c r="CM32" s="339"/>
      <c r="CN32" s="336"/>
      <c r="CO32" s="336"/>
      <c r="CP32" s="337"/>
      <c r="CQ32" s="338"/>
      <c r="CR32" s="338"/>
      <c r="CS32" s="339"/>
      <c r="CT32" s="323"/>
      <c r="CU32" s="323"/>
      <c r="CV32" s="324"/>
      <c r="CW32" s="325"/>
      <c r="CX32" s="325"/>
      <c r="CY32" s="326"/>
      <c r="CZ32" s="323"/>
      <c r="DA32" s="323"/>
      <c r="DB32" s="324"/>
      <c r="DC32" s="169"/>
      <c r="DD32" s="169">
        <v>1</v>
      </c>
      <c r="DE32" s="170"/>
      <c r="DF32" s="171"/>
      <c r="DG32" s="170"/>
      <c r="DH32" s="170"/>
    </row>
    <row r="33" spans="1:112" ht="24.75" customHeight="1">
      <c r="A33" s="257">
        <f>'Danh muc'!A33</f>
        <v>26</v>
      </c>
      <c r="B33" s="258">
        <f>'Danh muc'!B33</f>
        <v>22050901</v>
      </c>
      <c r="C33" s="259" t="str">
        <f>'Danh muc'!C33</f>
        <v>Phạm Thị Kim Huệ</v>
      </c>
      <c r="D33" s="258" t="str">
        <f>'Danh muc'!E33</f>
        <v>Ngoại Quan</v>
      </c>
      <c r="E33" s="202">
        <f t="shared" si="0"/>
        <v>0</v>
      </c>
      <c r="F33" s="202">
        <f t="shared" si="1"/>
        <v>0</v>
      </c>
      <c r="G33" s="202">
        <f t="shared" si="2"/>
        <v>0</v>
      </c>
      <c r="H33" s="203">
        <f t="shared" si="3"/>
        <v>0</v>
      </c>
      <c r="I33" s="204">
        <f t="shared" si="3"/>
        <v>0</v>
      </c>
      <c r="J33" s="203">
        <f t="shared" si="4"/>
        <v>0</v>
      </c>
      <c r="K33" s="205">
        <f t="shared" si="5"/>
        <v>0</v>
      </c>
      <c r="L33" s="206">
        <f t="shared" si="6"/>
        <v>0</v>
      </c>
      <c r="M33" s="207">
        <f t="shared" si="7"/>
        <v>0</v>
      </c>
      <c r="N33" s="336"/>
      <c r="O33" s="336"/>
      <c r="P33" s="337"/>
      <c r="Q33" s="338"/>
      <c r="R33" s="338"/>
      <c r="S33" s="339"/>
      <c r="T33" s="336"/>
      <c r="U33" s="336"/>
      <c r="V33" s="337"/>
      <c r="W33" s="338"/>
      <c r="X33" s="338"/>
      <c r="Y33" s="339"/>
      <c r="Z33" s="336"/>
      <c r="AA33" s="336"/>
      <c r="AB33" s="337"/>
      <c r="AC33" s="338"/>
      <c r="AD33" s="338"/>
      <c r="AE33" s="339"/>
      <c r="AF33" s="336"/>
      <c r="AG33" s="336"/>
      <c r="AH33" s="337"/>
      <c r="AI33" s="338"/>
      <c r="AJ33" s="338"/>
      <c r="AK33" s="339"/>
      <c r="AL33" s="336"/>
      <c r="AM33" s="336"/>
      <c r="AN33" s="337"/>
      <c r="AO33" s="338"/>
      <c r="AP33" s="338"/>
      <c r="AQ33" s="339"/>
      <c r="AR33" s="336"/>
      <c r="AS33" s="336"/>
      <c r="AT33" s="337"/>
      <c r="AU33" s="338"/>
      <c r="AV33" s="338"/>
      <c r="AW33" s="339"/>
      <c r="AX33" s="336"/>
      <c r="AY33" s="336"/>
      <c r="AZ33" s="337"/>
      <c r="BA33" s="338"/>
      <c r="BB33" s="338"/>
      <c r="BC33" s="339"/>
      <c r="BD33" s="336"/>
      <c r="BE33" s="336"/>
      <c r="BF33" s="337"/>
      <c r="BG33" s="338"/>
      <c r="BH33" s="338"/>
      <c r="BI33" s="339"/>
      <c r="BJ33" s="336"/>
      <c r="BK33" s="336"/>
      <c r="BL33" s="337"/>
      <c r="BM33" s="338"/>
      <c r="BN33" s="338"/>
      <c r="BO33" s="339"/>
      <c r="BP33" s="336"/>
      <c r="BQ33" s="336"/>
      <c r="BR33" s="337"/>
      <c r="BS33" s="338"/>
      <c r="BT33" s="338"/>
      <c r="BU33" s="339"/>
      <c r="BV33" s="336"/>
      <c r="BW33" s="336"/>
      <c r="BX33" s="337"/>
      <c r="BY33" s="338"/>
      <c r="BZ33" s="338"/>
      <c r="CA33" s="339"/>
      <c r="CB33" s="336"/>
      <c r="CC33" s="336"/>
      <c r="CD33" s="337"/>
      <c r="CE33" s="338"/>
      <c r="CF33" s="338"/>
      <c r="CG33" s="339"/>
      <c r="CH33" s="336"/>
      <c r="CI33" s="336"/>
      <c r="CJ33" s="337"/>
      <c r="CK33" s="338"/>
      <c r="CL33" s="338"/>
      <c r="CM33" s="339"/>
      <c r="CN33" s="336"/>
      <c r="CO33" s="336"/>
      <c r="CP33" s="337"/>
      <c r="CQ33" s="338"/>
      <c r="CR33" s="338"/>
      <c r="CS33" s="339"/>
      <c r="CT33" s="323"/>
      <c r="CU33" s="323"/>
      <c r="CV33" s="324"/>
      <c r="CW33" s="325"/>
      <c r="CX33" s="325"/>
      <c r="CY33" s="326"/>
      <c r="CZ33" s="323"/>
      <c r="DA33" s="323"/>
      <c r="DB33" s="324"/>
      <c r="DC33" s="169"/>
      <c r="DD33" s="169">
        <v>1</v>
      </c>
      <c r="DE33" s="170"/>
      <c r="DF33" s="171"/>
      <c r="DG33" s="170"/>
      <c r="DH33" s="170"/>
    </row>
    <row r="34" spans="1:112" ht="24.75" customHeight="1">
      <c r="A34" s="257">
        <f>'Danh muc'!A34</f>
        <v>27</v>
      </c>
      <c r="B34" s="258">
        <f>'Danh muc'!B34</f>
        <v>22060900</v>
      </c>
      <c r="C34" s="259" t="str">
        <f>'Danh muc'!C34</f>
        <v>Đoàn Hữu Duy Linh</v>
      </c>
      <c r="D34" s="258" t="str">
        <f>'Danh muc'!E34</f>
        <v>Ngoại Quan</v>
      </c>
      <c r="E34" s="202">
        <f t="shared" si="0"/>
        <v>0</v>
      </c>
      <c r="F34" s="202">
        <f t="shared" si="1"/>
        <v>0</v>
      </c>
      <c r="G34" s="202">
        <f t="shared" si="2"/>
        <v>0</v>
      </c>
      <c r="H34" s="203">
        <f t="shared" si="3"/>
        <v>0</v>
      </c>
      <c r="I34" s="204">
        <f t="shared" si="3"/>
        <v>0</v>
      </c>
      <c r="J34" s="203">
        <f t="shared" si="4"/>
        <v>0</v>
      </c>
      <c r="K34" s="205">
        <f t="shared" si="5"/>
        <v>0</v>
      </c>
      <c r="L34" s="206">
        <f t="shared" si="6"/>
        <v>0</v>
      </c>
      <c r="M34" s="207">
        <f t="shared" si="7"/>
        <v>0</v>
      </c>
      <c r="N34" s="336"/>
      <c r="O34" s="336"/>
      <c r="P34" s="337"/>
      <c r="Q34" s="338"/>
      <c r="R34" s="338"/>
      <c r="S34" s="339"/>
      <c r="T34" s="336"/>
      <c r="U34" s="336"/>
      <c r="V34" s="337"/>
      <c r="W34" s="338"/>
      <c r="X34" s="338"/>
      <c r="Y34" s="339"/>
      <c r="Z34" s="336"/>
      <c r="AA34" s="336"/>
      <c r="AB34" s="337"/>
      <c r="AC34" s="338"/>
      <c r="AD34" s="338"/>
      <c r="AE34" s="339"/>
      <c r="AF34" s="336"/>
      <c r="AG34" s="336"/>
      <c r="AH34" s="337"/>
      <c r="AI34" s="338"/>
      <c r="AJ34" s="338"/>
      <c r="AK34" s="339"/>
      <c r="AL34" s="336"/>
      <c r="AM34" s="336"/>
      <c r="AN34" s="337"/>
      <c r="AO34" s="338"/>
      <c r="AP34" s="338"/>
      <c r="AQ34" s="339"/>
      <c r="AR34" s="336"/>
      <c r="AS34" s="336"/>
      <c r="AT34" s="337"/>
      <c r="AU34" s="338"/>
      <c r="AV34" s="338"/>
      <c r="AW34" s="339"/>
      <c r="AX34" s="336"/>
      <c r="AY34" s="336"/>
      <c r="AZ34" s="337"/>
      <c r="BA34" s="338"/>
      <c r="BB34" s="338"/>
      <c r="BC34" s="339"/>
      <c r="BD34" s="336"/>
      <c r="BE34" s="336"/>
      <c r="BF34" s="337"/>
      <c r="BG34" s="338"/>
      <c r="BH34" s="338"/>
      <c r="BI34" s="339"/>
      <c r="BJ34" s="336"/>
      <c r="BK34" s="336"/>
      <c r="BL34" s="337"/>
      <c r="BM34" s="338"/>
      <c r="BN34" s="338"/>
      <c r="BO34" s="339"/>
      <c r="BP34" s="336"/>
      <c r="BQ34" s="336"/>
      <c r="BR34" s="337"/>
      <c r="BS34" s="338"/>
      <c r="BT34" s="338"/>
      <c r="BU34" s="339"/>
      <c r="BV34" s="336"/>
      <c r="BW34" s="336"/>
      <c r="BX34" s="337"/>
      <c r="BY34" s="338"/>
      <c r="BZ34" s="338"/>
      <c r="CA34" s="339"/>
      <c r="CB34" s="336"/>
      <c r="CC34" s="336"/>
      <c r="CD34" s="337"/>
      <c r="CE34" s="338"/>
      <c r="CF34" s="338"/>
      <c r="CG34" s="339"/>
      <c r="CH34" s="336"/>
      <c r="CI34" s="336"/>
      <c r="CJ34" s="337"/>
      <c r="CK34" s="338"/>
      <c r="CL34" s="338"/>
      <c r="CM34" s="339"/>
      <c r="CN34" s="336"/>
      <c r="CO34" s="336"/>
      <c r="CP34" s="337"/>
      <c r="CQ34" s="338"/>
      <c r="CR34" s="338"/>
      <c r="CS34" s="339"/>
      <c r="CT34" s="323"/>
      <c r="CU34" s="323"/>
      <c r="CV34" s="324"/>
      <c r="CW34" s="325"/>
      <c r="CX34" s="325"/>
      <c r="CY34" s="326"/>
      <c r="CZ34" s="323"/>
      <c r="DA34" s="323"/>
      <c r="DB34" s="324"/>
      <c r="DC34" s="169"/>
      <c r="DD34" s="169">
        <v>1</v>
      </c>
      <c r="DE34" s="170"/>
      <c r="DF34" s="171"/>
      <c r="DG34" s="170"/>
      <c r="DH34" s="170"/>
    </row>
    <row r="35" spans="1:112" ht="24.75" customHeight="1">
      <c r="A35" s="257">
        <f>'Danh muc'!A35</f>
        <v>28</v>
      </c>
      <c r="B35" s="258">
        <f>'Danh muc'!B35</f>
        <v>23031500</v>
      </c>
      <c r="C35" s="259" t="str">
        <f>'Danh muc'!C35</f>
        <v>Phan Thị Thúy Hằng</v>
      </c>
      <c r="D35" s="258" t="str">
        <f>'Danh muc'!E35</f>
        <v>Ngoại Quan</v>
      </c>
      <c r="E35" s="202">
        <f t="shared" si="0"/>
        <v>0</v>
      </c>
      <c r="F35" s="202">
        <f t="shared" si="1"/>
        <v>0</v>
      </c>
      <c r="G35" s="202">
        <f t="shared" si="2"/>
        <v>0</v>
      </c>
      <c r="H35" s="203">
        <f t="shared" si="3"/>
        <v>0</v>
      </c>
      <c r="I35" s="204">
        <f t="shared" si="3"/>
        <v>0</v>
      </c>
      <c r="J35" s="203">
        <f t="shared" si="4"/>
        <v>0</v>
      </c>
      <c r="K35" s="205">
        <f t="shared" si="5"/>
        <v>0</v>
      </c>
      <c r="L35" s="206">
        <f t="shared" si="6"/>
        <v>0</v>
      </c>
      <c r="M35" s="207">
        <f t="shared" si="7"/>
        <v>0</v>
      </c>
      <c r="N35" s="336"/>
      <c r="O35" s="336"/>
      <c r="P35" s="337"/>
      <c r="Q35" s="338"/>
      <c r="R35" s="338"/>
      <c r="S35" s="339"/>
      <c r="T35" s="336"/>
      <c r="U35" s="336"/>
      <c r="V35" s="337"/>
      <c r="W35" s="338"/>
      <c r="X35" s="338"/>
      <c r="Y35" s="339"/>
      <c r="Z35" s="336"/>
      <c r="AA35" s="336"/>
      <c r="AB35" s="337"/>
      <c r="AC35" s="338"/>
      <c r="AD35" s="338"/>
      <c r="AE35" s="339"/>
      <c r="AF35" s="336"/>
      <c r="AG35" s="336"/>
      <c r="AH35" s="337"/>
      <c r="AI35" s="338"/>
      <c r="AJ35" s="338"/>
      <c r="AK35" s="339"/>
      <c r="AL35" s="336"/>
      <c r="AM35" s="336"/>
      <c r="AN35" s="337"/>
      <c r="AO35" s="338"/>
      <c r="AP35" s="338"/>
      <c r="AQ35" s="339"/>
      <c r="AR35" s="336"/>
      <c r="AS35" s="336"/>
      <c r="AT35" s="337"/>
      <c r="AU35" s="338"/>
      <c r="AV35" s="338"/>
      <c r="AW35" s="339"/>
      <c r="AX35" s="336"/>
      <c r="AY35" s="336"/>
      <c r="AZ35" s="337"/>
      <c r="BA35" s="338"/>
      <c r="BB35" s="338"/>
      <c r="BC35" s="339"/>
      <c r="BD35" s="336"/>
      <c r="BE35" s="336"/>
      <c r="BF35" s="337"/>
      <c r="BG35" s="338"/>
      <c r="BH35" s="338"/>
      <c r="BI35" s="339"/>
      <c r="BJ35" s="336"/>
      <c r="BK35" s="336"/>
      <c r="BL35" s="337"/>
      <c r="BM35" s="338"/>
      <c r="BN35" s="338"/>
      <c r="BO35" s="339"/>
      <c r="BP35" s="336"/>
      <c r="BQ35" s="336"/>
      <c r="BR35" s="337"/>
      <c r="BS35" s="338"/>
      <c r="BT35" s="338"/>
      <c r="BU35" s="339"/>
      <c r="BV35" s="336"/>
      <c r="BW35" s="336"/>
      <c r="BX35" s="337"/>
      <c r="BY35" s="338"/>
      <c r="BZ35" s="338"/>
      <c r="CA35" s="339"/>
      <c r="CB35" s="336"/>
      <c r="CC35" s="336"/>
      <c r="CD35" s="337"/>
      <c r="CE35" s="338"/>
      <c r="CF35" s="338"/>
      <c r="CG35" s="339"/>
      <c r="CH35" s="336"/>
      <c r="CI35" s="336"/>
      <c r="CJ35" s="337"/>
      <c r="CK35" s="338"/>
      <c r="CL35" s="338"/>
      <c r="CM35" s="339"/>
      <c r="CN35" s="336"/>
      <c r="CO35" s="336"/>
      <c r="CP35" s="337"/>
      <c r="CQ35" s="338"/>
      <c r="CR35" s="338"/>
      <c r="CS35" s="339"/>
      <c r="CT35" s="323"/>
      <c r="CU35" s="323"/>
      <c r="CV35" s="324"/>
      <c r="CW35" s="325"/>
      <c r="CX35" s="325"/>
      <c r="CY35" s="326"/>
      <c r="CZ35" s="323"/>
      <c r="DA35" s="323"/>
      <c r="DB35" s="324"/>
      <c r="DC35" s="169"/>
      <c r="DD35" s="169">
        <v>1</v>
      </c>
      <c r="DE35" s="170"/>
      <c r="DF35" s="171"/>
      <c r="DG35" s="170"/>
      <c r="DH35" s="170"/>
    </row>
    <row r="36" spans="1:112" ht="24.75" customHeight="1">
      <c r="A36" s="257">
        <f>'Danh muc'!A36</f>
        <v>29</v>
      </c>
      <c r="B36" s="258">
        <f>'Danh muc'!B36</f>
        <v>23013100</v>
      </c>
      <c r="C36" s="259" t="str">
        <f>'Danh muc'!C36</f>
        <v>Huỳnh Thị Cẩm Tú</v>
      </c>
      <c r="D36" s="258" t="str">
        <f>'Danh muc'!E36</f>
        <v>Ngoại Quan</v>
      </c>
      <c r="E36" s="202">
        <f t="shared" si="0"/>
        <v>0</v>
      </c>
      <c r="F36" s="202">
        <f t="shared" si="1"/>
        <v>0</v>
      </c>
      <c r="G36" s="202">
        <f t="shared" si="2"/>
        <v>0</v>
      </c>
      <c r="H36" s="203">
        <f t="shared" si="3"/>
        <v>0</v>
      </c>
      <c r="I36" s="204">
        <f t="shared" si="3"/>
        <v>0</v>
      </c>
      <c r="J36" s="203">
        <f t="shared" si="4"/>
        <v>0</v>
      </c>
      <c r="K36" s="205">
        <f t="shared" si="5"/>
        <v>0</v>
      </c>
      <c r="L36" s="206">
        <f t="shared" si="6"/>
        <v>0</v>
      </c>
      <c r="M36" s="207">
        <f t="shared" si="7"/>
        <v>0</v>
      </c>
      <c r="N36" s="336"/>
      <c r="O36" s="336"/>
      <c r="P36" s="337"/>
      <c r="Q36" s="338"/>
      <c r="R36" s="338"/>
      <c r="S36" s="339"/>
      <c r="T36" s="336"/>
      <c r="U36" s="336"/>
      <c r="V36" s="337"/>
      <c r="W36" s="338"/>
      <c r="X36" s="338"/>
      <c r="Y36" s="339"/>
      <c r="Z36" s="336"/>
      <c r="AA36" s="336"/>
      <c r="AB36" s="337"/>
      <c r="AC36" s="338"/>
      <c r="AD36" s="338"/>
      <c r="AE36" s="339"/>
      <c r="AF36" s="336"/>
      <c r="AG36" s="336"/>
      <c r="AH36" s="337"/>
      <c r="AI36" s="338"/>
      <c r="AJ36" s="338"/>
      <c r="AK36" s="339"/>
      <c r="AL36" s="336"/>
      <c r="AM36" s="336"/>
      <c r="AN36" s="337"/>
      <c r="AO36" s="338"/>
      <c r="AP36" s="338"/>
      <c r="AQ36" s="339"/>
      <c r="AR36" s="336"/>
      <c r="AS36" s="336"/>
      <c r="AT36" s="337"/>
      <c r="AU36" s="338"/>
      <c r="AV36" s="338"/>
      <c r="AW36" s="339"/>
      <c r="AX36" s="336"/>
      <c r="AY36" s="336"/>
      <c r="AZ36" s="337"/>
      <c r="BA36" s="338"/>
      <c r="BB36" s="338"/>
      <c r="BC36" s="339"/>
      <c r="BD36" s="336"/>
      <c r="BE36" s="336"/>
      <c r="BF36" s="337"/>
      <c r="BG36" s="338"/>
      <c r="BH36" s="338"/>
      <c r="BI36" s="339"/>
      <c r="BJ36" s="336"/>
      <c r="BK36" s="336"/>
      <c r="BL36" s="337"/>
      <c r="BM36" s="338"/>
      <c r="BN36" s="338"/>
      <c r="BO36" s="339"/>
      <c r="BP36" s="336"/>
      <c r="BQ36" s="336"/>
      <c r="BR36" s="337"/>
      <c r="BS36" s="338"/>
      <c r="BT36" s="338"/>
      <c r="BU36" s="339"/>
      <c r="BV36" s="336"/>
      <c r="BW36" s="336"/>
      <c r="BX36" s="337"/>
      <c r="BY36" s="338"/>
      <c r="BZ36" s="338"/>
      <c r="CA36" s="339"/>
      <c r="CB36" s="336"/>
      <c r="CC36" s="336"/>
      <c r="CD36" s="337"/>
      <c r="CE36" s="338"/>
      <c r="CF36" s="338"/>
      <c r="CG36" s="339"/>
      <c r="CH36" s="336"/>
      <c r="CI36" s="336"/>
      <c r="CJ36" s="337"/>
      <c r="CK36" s="338"/>
      <c r="CL36" s="338"/>
      <c r="CM36" s="339"/>
      <c r="CN36" s="336"/>
      <c r="CO36" s="336"/>
      <c r="CP36" s="337"/>
      <c r="CQ36" s="338"/>
      <c r="CR36" s="338"/>
      <c r="CS36" s="339"/>
      <c r="CT36" s="323"/>
      <c r="CU36" s="323"/>
      <c r="CV36" s="324"/>
      <c r="CW36" s="325"/>
      <c r="CX36" s="325"/>
      <c r="CY36" s="326"/>
      <c r="CZ36" s="323"/>
      <c r="DA36" s="323"/>
      <c r="DB36" s="324"/>
      <c r="DC36" s="169"/>
      <c r="DD36" s="169">
        <v>1</v>
      </c>
      <c r="DE36" s="170"/>
      <c r="DF36" s="171"/>
      <c r="DG36" s="170"/>
      <c r="DH36" s="170"/>
    </row>
    <row r="37" spans="1:112" ht="24.75" customHeight="1">
      <c r="A37" s="257">
        <f>'Danh muc'!A37</f>
        <v>30</v>
      </c>
      <c r="B37" s="258">
        <f>'Danh muc'!B37</f>
        <v>23030100</v>
      </c>
      <c r="C37" s="259" t="str">
        <f>'Danh muc'!C37</f>
        <v>Đinh Phương Thảo</v>
      </c>
      <c r="D37" s="258" t="str">
        <f>'Danh muc'!E37</f>
        <v>ISO</v>
      </c>
      <c r="E37" s="202">
        <f t="shared" si="0"/>
        <v>0</v>
      </c>
      <c r="F37" s="202">
        <f t="shared" si="1"/>
        <v>0</v>
      </c>
      <c r="G37" s="202">
        <f t="shared" si="2"/>
        <v>0</v>
      </c>
      <c r="H37" s="203">
        <f t="shared" si="3"/>
        <v>0</v>
      </c>
      <c r="I37" s="204">
        <f t="shared" si="3"/>
        <v>0</v>
      </c>
      <c r="J37" s="203">
        <f t="shared" si="4"/>
        <v>0</v>
      </c>
      <c r="K37" s="205">
        <f t="shared" si="5"/>
        <v>0</v>
      </c>
      <c r="L37" s="206">
        <f t="shared" si="6"/>
        <v>0</v>
      </c>
      <c r="M37" s="207">
        <f t="shared" si="7"/>
        <v>0</v>
      </c>
      <c r="N37" s="336"/>
      <c r="O37" s="336"/>
      <c r="P37" s="337"/>
      <c r="Q37" s="338"/>
      <c r="R37" s="338"/>
      <c r="S37" s="339"/>
      <c r="T37" s="336"/>
      <c r="U37" s="336"/>
      <c r="V37" s="337"/>
      <c r="W37" s="338"/>
      <c r="X37" s="338"/>
      <c r="Y37" s="339"/>
      <c r="Z37" s="336"/>
      <c r="AA37" s="336"/>
      <c r="AB37" s="337"/>
      <c r="AC37" s="338"/>
      <c r="AD37" s="338"/>
      <c r="AE37" s="339"/>
      <c r="AF37" s="336"/>
      <c r="AG37" s="336"/>
      <c r="AH37" s="337"/>
      <c r="AI37" s="338"/>
      <c r="AJ37" s="338"/>
      <c r="AK37" s="339"/>
      <c r="AL37" s="336"/>
      <c r="AM37" s="336"/>
      <c r="AN37" s="337"/>
      <c r="AO37" s="338"/>
      <c r="AP37" s="338"/>
      <c r="AQ37" s="339"/>
      <c r="AR37" s="336"/>
      <c r="AS37" s="336"/>
      <c r="AT37" s="337"/>
      <c r="AU37" s="338"/>
      <c r="AV37" s="338"/>
      <c r="AW37" s="339"/>
      <c r="AX37" s="336"/>
      <c r="AY37" s="336"/>
      <c r="AZ37" s="337"/>
      <c r="BA37" s="338"/>
      <c r="BB37" s="338"/>
      <c r="BC37" s="339"/>
      <c r="BD37" s="336"/>
      <c r="BE37" s="336"/>
      <c r="BF37" s="337"/>
      <c r="BG37" s="338"/>
      <c r="BH37" s="338"/>
      <c r="BI37" s="339"/>
      <c r="BJ37" s="336"/>
      <c r="BK37" s="336"/>
      <c r="BL37" s="337"/>
      <c r="BM37" s="338"/>
      <c r="BN37" s="338"/>
      <c r="BO37" s="339"/>
      <c r="BP37" s="336"/>
      <c r="BQ37" s="336"/>
      <c r="BR37" s="337"/>
      <c r="BS37" s="338"/>
      <c r="BT37" s="338"/>
      <c r="BU37" s="339"/>
      <c r="BV37" s="336"/>
      <c r="BW37" s="336"/>
      <c r="BX37" s="337"/>
      <c r="BY37" s="338"/>
      <c r="BZ37" s="338"/>
      <c r="CA37" s="339"/>
      <c r="CB37" s="336"/>
      <c r="CC37" s="336"/>
      <c r="CD37" s="337"/>
      <c r="CE37" s="338"/>
      <c r="CF37" s="338"/>
      <c r="CG37" s="339"/>
      <c r="CH37" s="336"/>
      <c r="CI37" s="336"/>
      <c r="CJ37" s="337"/>
      <c r="CK37" s="338"/>
      <c r="CL37" s="338"/>
      <c r="CM37" s="339"/>
      <c r="CN37" s="336"/>
      <c r="CO37" s="336"/>
      <c r="CP37" s="337"/>
      <c r="CQ37" s="338"/>
      <c r="CR37" s="338"/>
      <c r="CS37" s="339"/>
      <c r="CT37" s="323"/>
      <c r="CU37" s="323"/>
      <c r="CV37" s="324"/>
      <c r="CW37" s="325"/>
      <c r="CX37" s="325"/>
      <c r="CY37" s="326"/>
      <c r="CZ37" s="323"/>
      <c r="DA37" s="323"/>
      <c r="DB37" s="324"/>
      <c r="DC37" s="169"/>
      <c r="DD37" s="169">
        <v>1</v>
      </c>
      <c r="DE37" s="170"/>
      <c r="DF37" s="171"/>
      <c r="DG37" s="170"/>
      <c r="DH37" s="170"/>
    </row>
    <row r="38" spans="1:112" ht="24.75" customHeight="1">
      <c r="A38" s="257">
        <f>'Danh muc'!A38</f>
        <v>31</v>
      </c>
      <c r="B38" s="258">
        <f>'Danh muc'!B38</f>
        <v>24080500</v>
      </c>
      <c r="C38" s="259" t="str">
        <f>'Danh muc'!C38</f>
        <v>Võ Thị Thúy Kiều</v>
      </c>
      <c r="D38" s="258" t="str">
        <f>'Danh muc'!E38</f>
        <v>Ngoại Quan</v>
      </c>
      <c r="E38" s="202">
        <f t="shared" si="0"/>
        <v>0</v>
      </c>
      <c r="F38" s="202">
        <f t="shared" si="1"/>
        <v>0</v>
      </c>
      <c r="G38" s="202">
        <f t="shared" si="2"/>
        <v>0</v>
      </c>
      <c r="H38" s="203">
        <f t="shared" si="3"/>
        <v>0</v>
      </c>
      <c r="I38" s="204">
        <f t="shared" si="3"/>
        <v>0</v>
      </c>
      <c r="J38" s="203">
        <f t="shared" si="4"/>
        <v>0</v>
      </c>
      <c r="K38" s="205">
        <f t="shared" si="5"/>
        <v>0</v>
      </c>
      <c r="L38" s="206">
        <f t="shared" si="6"/>
        <v>0</v>
      </c>
      <c r="M38" s="207">
        <f t="shared" si="7"/>
        <v>0</v>
      </c>
      <c r="N38" s="336"/>
      <c r="O38" s="336"/>
      <c r="P38" s="337"/>
      <c r="Q38" s="338"/>
      <c r="R38" s="338"/>
      <c r="S38" s="339"/>
      <c r="T38" s="336"/>
      <c r="U38" s="336"/>
      <c r="V38" s="337"/>
      <c r="W38" s="338"/>
      <c r="X38" s="338"/>
      <c r="Y38" s="339"/>
      <c r="Z38" s="336"/>
      <c r="AA38" s="336"/>
      <c r="AB38" s="337"/>
      <c r="AC38" s="338"/>
      <c r="AD38" s="338"/>
      <c r="AE38" s="339"/>
      <c r="AF38" s="336"/>
      <c r="AG38" s="336"/>
      <c r="AH38" s="337"/>
      <c r="AI38" s="338"/>
      <c r="AJ38" s="338"/>
      <c r="AK38" s="339"/>
      <c r="AL38" s="336"/>
      <c r="AM38" s="336"/>
      <c r="AN38" s="337"/>
      <c r="AO38" s="338"/>
      <c r="AP38" s="338"/>
      <c r="AQ38" s="339"/>
      <c r="AR38" s="336"/>
      <c r="AS38" s="336"/>
      <c r="AT38" s="337"/>
      <c r="AU38" s="338"/>
      <c r="AV38" s="338"/>
      <c r="AW38" s="339"/>
      <c r="AX38" s="336"/>
      <c r="AY38" s="336"/>
      <c r="AZ38" s="337"/>
      <c r="BA38" s="338"/>
      <c r="BB38" s="338"/>
      <c r="BC38" s="339"/>
      <c r="BD38" s="336"/>
      <c r="BE38" s="336"/>
      <c r="BF38" s="337"/>
      <c r="BG38" s="338"/>
      <c r="BH38" s="338"/>
      <c r="BI38" s="339"/>
      <c r="BJ38" s="336"/>
      <c r="BK38" s="336"/>
      <c r="BL38" s="337"/>
      <c r="BM38" s="338"/>
      <c r="BN38" s="338"/>
      <c r="BO38" s="339"/>
      <c r="BP38" s="336"/>
      <c r="BQ38" s="336"/>
      <c r="BR38" s="337"/>
      <c r="BS38" s="338"/>
      <c r="BT38" s="338"/>
      <c r="BU38" s="339"/>
      <c r="BV38" s="336"/>
      <c r="BW38" s="336"/>
      <c r="BX38" s="337"/>
      <c r="BY38" s="338"/>
      <c r="BZ38" s="338"/>
      <c r="CA38" s="339"/>
      <c r="CB38" s="336"/>
      <c r="CC38" s="336"/>
      <c r="CD38" s="337"/>
      <c r="CE38" s="338"/>
      <c r="CF38" s="338"/>
      <c r="CG38" s="339"/>
      <c r="CH38" s="336"/>
      <c r="CI38" s="336"/>
      <c r="CJ38" s="337"/>
      <c r="CK38" s="338"/>
      <c r="CL38" s="338"/>
      <c r="CM38" s="339"/>
      <c r="CN38" s="336"/>
      <c r="CO38" s="336"/>
      <c r="CP38" s="337"/>
      <c r="CQ38" s="338"/>
      <c r="CR38" s="338"/>
      <c r="CS38" s="339"/>
      <c r="CT38" s="323"/>
      <c r="CU38" s="323"/>
      <c r="CV38" s="324"/>
      <c r="CW38" s="325"/>
      <c r="CX38" s="325"/>
      <c r="CY38" s="326"/>
      <c r="CZ38" s="323"/>
      <c r="DA38" s="323"/>
      <c r="DB38" s="324"/>
      <c r="DC38" s="169"/>
      <c r="DD38" s="169">
        <v>1</v>
      </c>
      <c r="DE38" s="170"/>
      <c r="DF38" s="171"/>
      <c r="DG38" s="170"/>
      <c r="DH38" s="170"/>
    </row>
    <row r="39" spans="1:112" ht="24.75" customHeight="1">
      <c r="A39" s="257">
        <f>'Danh muc'!A39</f>
        <v>32</v>
      </c>
      <c r="B39" s="258">
        <f>'Danh muc'!B39</f>
        <v>23041700</v>
      </c>
      <c r="C39" s="259" t="str">
        <f>'Danh muc'!C39</f>
        <v>Trần Thị Cẩm Tiên</v>
      </c>
      <c r="D39" s="258" t="str">
        <f>'Danh muc'!E39</f>
        <v>Ngoại Quan</v>
      </c>
      <c r="E39" s="202">
        <f t="shared" si="0"/>
        <v>0</v>
      </c>
      <c r="F39" s="202">
        <f t="shared" si="1"/>
        <v>0</v>
      </c>
      <c r="G39" s="202">
        <f t="shared" si="2"/>
        <v>0</v>
      </c>
      <c r="H39" s="203">
        <f t="shared" si="3"/>
        <v>0</v>
      </c>
      <c r="I39" s="204">
        <f t="shared" si="3"/>
        <v>0</v>
      </c>
      <c r="J39" s="203">
        <f t="shared" si="4"/>
        <v>0</v>
      </c>
      <c r="K39" s="205">
        <f t="shared" si="5"/>
        <v>0</v>
      </c>
      <c r="L39" s="206">
        <f t="shared" si="6"/>
        <v>0</v>
      </c>
      <c r="M39" s="207">
        <f t="shared" si="7"/>
        <v>0</v>
      </c>
      <c r="N39" s="336"/>
      <c r="O39" s="336"/>
      <c r="P39" s="337"/>
      <c r="Q39" s="338"/>
      <c r="R39" s="338"/>
      <c r="S39" s="339"/>
      <c r="T39" s="336"/>
      <c r="U39" s="336"/>
      <c r="V39" s="337"/>
      <c r="W39" s="338"/>
      <c r="X39" s="338"/>
      <c r="Y39" s="339"/>
      <c r="Z39" s="336"/>
      <c r="AA39" s="336"/>
      <c r="AB39" s="337"/>
      <c r="AC39" s="338"/>
      <c r="AD39" s="338"/>
      <c r="AE39" s="339"/>
      <c r="AF39" s="336"/>
      <c r="AG39" s="336"/>
      <c r="AH39" s="337"/>
      <c r="AI39" s="338"/>
      <c r="AJ39" s="338"/>
      <c r="AK39" s="339"/>
      <c r="AL39" s="336"/>
      <c r="AM39" s="336"/>
      <c r="AN39" s="337"/>
      <c r="AO39" s="338"/>
      <c r="AP39" s="338"/>
      <c r="AQ39" s="339"/>
      <c r="AR39" s="336"/>
      <c r="AS39" s="336"/>
      <c r="AT39" s="337"/>
      <c r="AU39" s="338"/>
      <c r="AV39" s="338"/>
      <c r="AW39" s="339"/>
      <c r="AX39" s="336"/>
      <c r="AY39" s="336"/>
      <c r="AZ39" s="337"/>
      <c r="BA39" s="338"/>
      <c r="BB39" s="338"/>
      <c r="BC39" s="339"/>
      <c r="BD39" s="336"/>
      <c r="BE39" s="336"/>
      <c r="BF39" s="337"/>
      <c r="BG39" s="338"/>
      <c r="BH39" s="338"/>
      <c r="BI39" s="339"/>
      <c r="BJ39" s="336"/>
      <c r="BK39" s="336"/>
      <c r="BL39" s="337"/>
      <c r="BM39" s="338"/>
      <c r="BN39" s="338"/>
      <c r="BO39" s="339"/>
      <c r="BP39" s="336"/>
      <c r="BQ39" s="336"/>
      <c r="BR39" s="337"/>
      <c r="BS39" s="338"/>
      <c r="BT39" s="338"/>
      <c r="BU39" s="339"/>
      <c r="BV39" s="336"/>
      <c r="BW39" s="336"/>
      <c r="BX39" s="337"/>
      <c r="BY39" s="338"/>
      <c r="BZ39" s="338"/>
      <c r="CA39" s="339"/>
      <c r="CB39" s="336"/>
      <c r="CC39" s="336"/>
      <c r="CD39" s="337"/>
      <c r="CE39" s="338"/>
      <c r="CF39" s="338"/>
      <c r="CG39" s="339"/>
      <c r="CH39" s="336"/>
      <c r="CI39" s="336"/>
      <c r="CJ39" s="337"/>
      <c r="CK39" s="338"/>
      <c r="CL39" s="338"/>
      <c r="CM39" s="339"/>
      <c r="CN39" s="336"/>
      <c r="CO39" s="336"/>
      <c r="CP39" s="337"/>
      <c r="CQ39" s="338"/>
      <c r="CR39" s="338"/>
      <c r="CS39" s="339"/>
      <c r="CT39" s="323"/>
      <c r="CU39" s="323"/>
      <c r="CV39" s="324"/>
      <c r="CW39" s="325"/>
      <c r="CX39" s="325"/>
      <c r="CY39" s="326"/>
      <c r="CZ39" s="323"/>
      <c r="DA39" s="323"/>
      <c r="DB39" s="324"/>
      <c r="DC39" s="169"/>
      <c r="DD39" s="169">
        <v>1</v>
      </c>
      <c r="DE39" s="170"/>
      <c r="DF39" s="171"/>
      <c r="DG39" s="170"/>
      <c r="DH39" s="170"/>
    </row>
    <row r="40" spans="1:112" ht="24.75" customHeight="1">
      <c r="A40" s="257">
        <f>'Danh muc'!A40</f>
        <v>33</v>
      </c>
      <c r="B40" s="258">
        <f>'Danh muc'!B40</f>
        <v>25080800</v>
      </c>
      <c r="C40" s="340" t="str">
        <f>'Danh muc'!C40</f>
        <v>Phan Thanh Toàn</v>
      </c>
      <c r="D40" s="258" t="str">
        <f>'Danh muc'!E40</f>
        <v>Khuôn</v>
      </c>
      <c r="E40" s="202">
        <f t="shared" si="0"/>
        <v>0</v>
      </c>
      <c r="F40" s="202">
        <f t="shared" si="1"/>
        <v>0</v>
      </c>
      <c r="G40" s="202">
        <f t="shared" si="2"/>
        <v>0</v>
      </c>
      <c r="H40" s="203">
        <f t="shared" si="3"/>
        <v>0</v>
      </c>
      <c r="I40" s="204">
        <f t="shared" si="3"/>
        <v>0</v>
      </c>
      <c r="J40" s="203">
        <f t="shared" si="4"/>
        <v>0</v>
      </c>
      <c r="K40" s="205">
        <f t="shared" si="5"/>
        <v>0</v>
      </c>
      <c r="L40" s="206">
        <f t="shared" si="6"/>
        <v>0</v>
      </c>
      <c r="M40" s="207">
        <f t="shared" si="7"/>
        <v>0</v>
      </c>
      <c r="N40" s="323"/>
      <c r="O40" s="323"/>
      <c r="P40" s="324"/>
      <c r="Q40" s="325"/>
      <c r="R40" s="325"/>
      <c r="S40" s="326"/>
      <c r="T40" s="323"/>
      <c r="U40" s="323"/>
      <c r="V40" s="324"/>
      <c r="W40" s="325"/>
      <c r="X40" s="325"/>
      <c r="Y40" s="326"/>
      <c r="Z40" s="323"/>
      <c r="AA40" s="323"/>
      <c r="AB40" s="324"/>
      <c r="AC40" s="325"/>
      <c r="AD40" s="325"/>
      <c r="AE40" s="326"/>
      <c r="AF40" s="323"/>
      <c r="AG40" s="323"/>
      <c r="AH40" s="324"/>
      <c r="AI40" s="325"/>
      <c r="AJ40" s="325"/>
      <c r="AK40" s="326"/>
      <c r="AL40" s="323"/>
      <c r="AM40" s="323"/>
      <c r="AN40" s="324"/>
      <c r="AO40" s="325"/>
      <c r="AP40" s="325"/>
      <c r="AQ40" s="326"/>
      <c r="AR40" s="323"/>
      <c r="AS40" s="323"/>
      <c r="AT40" s="324"/>
      <c r="AU40" s="325"/>
      <c r="AV40" s="325"/>
      <c r="AW40" s="326"/>
      <c r="AX40" s="323"/>
      <c r="AY40" s="323"/>
      <c r="AZ40" s="324"/>
      <c r="BA40" s="325"/>
      <c r="BB40" s="325"/>
      <c r="BC40" s="326"/>
      <c r="BD40" s="323"/>
      <c r="BE40" s="323"/>
      <c r="BF40" s="324"/>
      <c r="BG40" s="325"/>
      <c r="BH40" s="325"/>
      <c r="BI40" s="326"/>
      <c r="BJ40" s="323"/>
      <c r="BK40" s="323"/>
      <c r="BL40" s="324"/>
      <c r="BM40" s="325"/>
      <c r="BN40" s="325"/>
      <c r="BO40" s="326"/>
      <c r="BP40" s="323"/>
      <c r="BQ40" s="323"/>
      <c r="BR40" s="324"/>
      <c r="BS40" s="325"/>
      <c r="BT40" s="325"/>
      <c r="BU40" s="326"/>
      <c r="BV40" s="323"/>
      <c r="BW40" s="323"/>
      <c r="BX40" s="324"/>
      <c r="BY40" s="325"/>
      <c r="BZ40" s="325"/>
      <c r="CA40" s="326"/>
      <c r="CB40" s="323"/>
      <c r="CC40" s="323"/>
      <c r="CD40" s="324"/>
      <c r="CE40" s="325"/>
      <c r="CF40" s="325"/>
      <c r="CG40" s="326"/>
      <c r="CH40" s="323"/>
      <c r="CI40" s="323"/>
      <c r="CJ40" s="324"/>
      <c r="CK40" s="325"/>
      <c r="CL40" s="325"/>
      <c r="CM40" s="326"/>
      <c r="CN40" s="323"/>
      <c r="CO40" s="323"/>
      <c r="CP40" s="324"/>
      <c r="CQ40" s="325"/>
      <c r="CR40" s="325"/>
      <c r="CS40" s="326"/>
      <c r="CT40" s="323"/>
      <c r="CU40" s="323"/>
      <c r="CV40" s="324"/>
      <c r="CW40" s="325"/>
      <c r="CX40" s="325"/>
      <c r="CY40" s="326"/>
      <c r="CZ40" s="310"/>
      <c r="DA40" s="310"/>
      <c r="DB40" s="311"/>
      <c r="DC40" s="169"/>
      <c r="DD40" s="169">
        <v>1</v>
      </c>
      <c r="DE40" s="170"/>
      <c r="DF40" s="171"/>
      <c r="DG40" s="170"/>
      <c r="DH40" s="170"/>
    </row>
    <row r="41" spans="1:112" ht="24.75" customHeight="1">
      <c r="A41" s="257">
        <f>'Danh muc'!A41</f>
        <v>34</v>
      </c>
      <c r="B41" s="258">
        <f>'Danh muc'!B41</f>
        <v>24022100</v>
      </c>
      <c r="C41" s="259" t="str">
        <f>'Danh muc'!C41</f>
        <v>Nguyễn Thị Hồng Nhung</v>
      </c>
      <c r="D41" s="258" t="str">
        <f>'Danh muc'!E41</f>
        <v>Ngoại Quan</v>
      </c>
      <c r="E41" s="202">
        <f t="shared" si="0"/>
        <v>0</v>
      </c>
      <c r="F41" s="202">
        <f t="shared" si="1"/>
        <v>0</v>
      </c>
      <c r="G41" s="202">
        <f t="shared" si="2"/>
        <v>0</v>
      </c>
      <c r="H41" s="203">
        <f t="shared" si="3"/>
        <v>0</v>
      </c>
      <c r="I41" s="204">
        <f t="shared" si="3"/>
        <v>0</v>
      </c>
      <c r="J41" s="203">
        <f t="shared" si="4"/>
        <v>0</v>
      </c>
      <c r="K41" s="205">
        <f t="shared" si="5"/>
        <v>0</v>
      </c>
      <c r="L41" s="206">
        <f t="shared" si="6"/>
        <v>0</v>
      </c>
      <c r="M41" s="207">
        <f t="shared" si="7"/>
        <v>0</v>
      </c>
      <c r="N41" s="336"/>
      <c r="O41" s="336"/>
      <c r="P41" s="337"/>
      <c r="Q41" s="338"/>
      <c r="R41" s="338"/>
      <c r="S41" s="339"/>
      <c r="T41" s="336"/>
      <c r="U41" s="336"/>
      <c r="V41" s="337"/>
      <c r="W41" s="338"/>
      <c r="X41" s="338"/>
      <c r="Y41" s="339"/>
      <c r="Z41" s="336"/>
      <c r="AA41" s="336"/>
      <c r="AB41" s="337"/>
      <c r="AC41" s="338"/>
      <c r="AD41" s="338"/>
      <c r="AE41" s="339"/>
      <c r="AF41" s="336"/>
      <c r="AG41" s="336"/>
      <c r="AH41" s="337"/>
      <c r="AI41" s="338"/>
      <c r="AJ41" s="338"/>
      <c r="AK41" s="339"/>
      <c r="AL41" s="336"/>
      <c r="AM41" s="336"/>
      <c r="AN41" s="337"/>
      <c r="AO41" s="338"/>
      <c r="AP41" s="338"/>
      <c r="AQ41" s="339"/>
      <c r="AR41" s="336"/>
      <c r="AS41" s="336"/>
      <c r="AT41" s="337"/>
      <c r="AU41" s="338"/>
      <c r="AV41" s="338"/>
      <c r="AW41" s="339"/>
      <c r="AX41" s="336"/>
      <c r="AY41" s="336"/>
      <c r="AZ41" s="337"/>
      <c r="BA41" s="338"/>
      <c r="BB41" s="338"/>
      <c r="BC41" s="339"/>
      <c r="BD41" s="336"/>
      <c r="BE41" s="336"/>
      <c r="BF41" s="337"/>
      <c r="BG41" s="338"/>
      <c r="BH41" s="338"/>
      <c r="BI41" s="339"/>
      <c r="BJ41" s="336"/>
      <c r="BK41" s="336"/>
      <c r="BL41" s="337"/>
      <c r="BM41" s="338"/>
      <c r="BN41" s="338"/>
      <c r="BO41" s="339"/>
      <c r="BP41" s="336"/>
      <c r="BQ41" s="336"/>
      <c r="BR41" s="337"/>
      <c r="BS41" s="338"/>
      <c r="BT41" s="338"/>
      <c r="BU41" s="339"/>
      <c r="BV41" s="336"/>
      <c r="BW41" s="336"/>
      <c r="BX41" s="337"/>
      <c r="BY41" s="338"/>
      <c r="BZ41" s="338"/>
      <c r="CA41" s="339"/>
      <c r="CB41" s="336"/>
      <c r="CC41" s="336"/>
      <c r="CD41" s="337"/>
      <c r="CE41" s="338"/>
      <c r="CF41" s="338"/>
      <c r="CG41" s="339"/>
      <c r="CH41" s="336"/>
      <c r="CI41" s="336"/>
      <c r="CJ41" s="337"/>
      <c r="CK41" s="338"/>
      <c r="CL41" s="338"/>
      <c r="CM41" s="339"/>
      <c r="CN41" s="336"/>
      <c r="CO41" s="336"/>
      <c r="CP41" s="337"/>
      <c r="CQ41" s="338"/>
      <c r="CR41" s="338"/>
      <c r="CS41" s="339"/>
      <c r="CT41" s="323"/>
      <c r="CU41" s="323"/>
      <c r="CV41" s="324"/>
      <c r="CW41" s="325"/>
      <c r="CX41" s="325"/>
      <c r="CY41" s="326"/>
      <c r="CZ41" s="323"/>
      <c r="DA41" s="323"/>
      <c r="DB41" s="324"/>
      <c r="DC41" s="169"/>
      <c r="DD41" s="169">
        <v>1</v>
      </c>
      <c r="DE41" s="170"/>
      <c r="DF41" s="171"/>
      <c r="DG41" s="170"/>
      <c r="DH41" s="170"/>
    </row>
    <row r="42" spans="1:112" ht="24.75" customHeight="1">
      <c r="A42" s="257">
        <f>'Danh muc'!A42</f>
        <v>35</v>
      </c>
      <c r="B42" s="258">
        <f>'Danh muc'!B42</f>
        <v>24061900</v>
      </c>
      <c r="C42" s="259" t="str">
        <f>'Danh muc'!C42</f>
        <v>Lê Thị Hồng Hiếu</v>
      </c>
      <c r="D42" s="258" t="str">
        <f>'Danh muc'!E42</f>
        <v>Ngoại Quan</v>
      </c>
      <c r="E42" s="202">
        <f t="shared" si="0"/>
        <v>0</v>
      </c>
      <c r="F42" s="202">
        <f t="shared" si="1"/>
        <v>0</v>
      </c>
      <c r="G42" s="202">
        <f t="shared" si="2"/>
        <v>0</v>
      </c>
      <c r="H42" s="203">
        <f t="shared" si="3"/>
        <v>0</v>
      </c>
      <c r="I42" s="204">
        <f t="shared" si="3"/>
        <v>0</v>
      </c>
      <c r="J42" s="203">
        <f t="shared" si="4"/>
        <v>0</v>
      </c>
      <c r="K42" s="205">
        <f t="shared" si="5"/>
        <v>0</v>
      </c>
      <c r="L42" s="206">
        <f t="shared" si="6"/>
        <v>0</v>
      </c>
      <c r="M42" s="207">
        <f t="shared" si="7"/>
        <v>0</v>
      </c>
      <c r="N42" s="336"/>
      <c r="O42" s="336"/>
      <c r="P42" s="337"/>
      <c r="Q42" s="338"/>
      <c r="R42" s="338"/>
      <c r="S42" s="339"/>
      <c r="T42" s="336"/>
      <c r="U42" s="336"/>
      <c r="V42" s="337"/>
      <c r="W42" s="338"/>
      <c r="X42" s="338"/>
      <c r="Y42" s="339"/>
      <c r="Z42" s="336"/>
      <c r="AA42" s="336"/>
      <c r="AB42" s="337"/>
      <c r="AC42" s="338"/>
      <c r="AD42" s="338"/>
      <c r="AE42" s="339"/>
      <c r="AF42" s="336"/>
      <c r="AG42" s="336"/>
      <c r="AH42" s="337"/>
      <c r="AI42" s="338"/>
      <c r="AJ42" s="338"/>
      <c r="AK42" s="339"/>
      <c r="AL42" s="336"/>
      <c r="AM42" s="336"/>
      <c r="AN42" s="337"/>
      <c r="AO42" s="338"/>
      <c r="AP42" s="338"/>
      <c r="AQ42" s="339"/>
      <c r="AR42" s="336"/>
      <c r="AS42" s="336"/>
      <c r="AT42" s="337"/>
      <c r="AU42" s="338"/>
      <c r="AV42" s="338"/>
      <c r="AW42" s="339"/>
      <c r="AX42" s="336"/>
      <c r="AY42" s="336"/>
      <c r="AZ42" s="337"/>
      <c r="BA42" s="338"/>
      <c r="BB42" s="338"/>
      <c r="BC42" s="339"/>
      <c r="BD42" s="336"/>
      <c r="BE42" s="336"/>
      <c r="BF42" s="337"/>
      <c r="BG42" s="338"/>
      <c r="BH42" s="338"/>
      <c r="BI42" s="339"/>
      <c r="BJ42" s="336"/>
      <c r="BK42" s="336"/>
      <c r="BL42" s="337"/>
      <c r="BM42" s="338"/>
      <c r="BN42" s="338"/>
      <c r="BO42" s="339"/>
      <c r="BP42" s="336"/>
      <c r="BQ42" s="336"/>
      <c r="BR42" s="337"/>
      <c r="BS42" s="338"/>
      <c r="BT42" s="338"/>
      <c r="BU42" s="339"/>
      <c r="BV42" s="336"/>
      <c r="BW42" s="336"/>
      <c r="BX42" s="337"/>
      <c r="BY42" s="338"/>
      <c r="BZ42" s="338"/>
      <c r="CA42" s="339"/>
      <c r="CB42" s="336"/>
      <c r="CC42" s="336"/>
      <c r="CD42" s="337"/>
      <c r="CE42" s="338"/>
      <c r="CF42" s="338"/>
      <c r="CG42" s="339"/>
      <c r="CH42" s="336"/>
      <c r="CI42" s="336"/>
      <c r="CJ42" s="337"/>
      <c r="CK42" s="338"/>
      <c r="CL42" s="338"/>
      <c r="CM42" s="339"/>
      <c r="CN42" s="336"/>
      <c r="CO42" s="336"/>
      <c r="CP42" s="337"/>
      <c r="CQ42" s="338"/>
      <c r="CR42" s="338"/>
      <c r="CS42" s="339"/>
      <c r="CT42" s="323"/>
      <c r="CU42" s="323"/>
      <c r="CV42" s="324"/>
      <c r="CW42" s="325"/>
      <c r="CX42" s="325"/>
      <c r="CY42" s="326"/>
      <c r="CZ42" s="323"/>
      <c r="DA42" s="323"/>
      <c r="DB42" s="324"/>
      <c r="DC42" s="169"/>
      <c r="DD42" s="169">
        <v>1</v>
      </c>
      <c r="DE42" s="172"/>
      <c r="DF42" s="173"/>
      <c r="DG42" s="172"/>
      <c r="DH42" s="172"/>
    </row>
    <row r="43" spans="1:112" ht="24.75" customHeight="1">
      <c r="A43" s="257">
        <f>'Danh muc'!A43</f>
        <v>36</v>
      </c>
      <c r="B43" s="258">
        <f>'Danh muc'!B43</f>
        <v>23071800</v>
      </c>
      <c r="C43" s="307" t="str">
        <f>'Danh muc'!C43</f>
        <v>Lê Minh Phát</v>
      </c>
      <c r="D43" s="258" t="str">
        <f>'Danh muc'!E43</f>
        <v>Sản xuất</v>
      </c>
      <c r="E43" s="202">
        <f t="shared" si="0"/>
        <v>0</v>
      </c>
      <c r="F43" s="202">
        <f t="shared" si="1"/>
        <v>0</v>
      </c>
      <c r="G43" s="202">
        <f t="shared" si="2"/>
        <v>0</v>
      </c>
      <c r="H43" s="203"/>
      <c r="I43" s="204">
        <f t="shared" si="3"/>
        <v>0</v>
      </c>
      <c r="J43" s="203">
        <f t="shared" si="4"/>
        <v>0</v>
      </c>
      <c r="K43" s="205">
        <f t="shared" si="5"/>
        <v>0</v>
      </c>
      <c r="L43" s="206">
        <f t="shared" si="6"/>
        <v>0</v>
      </c>
      <c r="M43" s="207">
        <f t="shared" si="7"/>
        <v>0</v>
      </c>
      <c r="N43" s="336"/>
      <c r="O43" s="336"/>
      <c r="P43" s="337"/>
      <c r="Q43" s="338"/>
      <c r="R43" s="338"/>
      <c r="S43" s="339"/>
      <c r="T43" s="336"/>
      <c r="U43" s="336"/>
      <c r="V43" s="337"/>
      <c r="W43" s="338"/>
      <c r="X43" s="338"/>
      <c r="Y43" s="339"/>
      <c r="Z43" s="336"/>
      <c r="AA43" s="336"/>
      <c r="AB43" s="337"/>
      <c r="AC43" s="338"/>
      <c r="AD43" s="338"/>
      <c r="AE43" s="339"/>
      <c r="AF43" s="336"/>
      <c r="AG43" s="336"/>
      <c r="AH43" s="337"/>
      <c r="AI43" s="338"/>
      <c r="AJ43" s="338"/>
      <c r="AK43" s="339"/>
      <c r="AL43" s="336"/>
      <c r="AM43" s="336"/>
      <c r="AN43" s="337"/>
      <c r="AO43" s="338"/>
      <c r="AP43" s="338"/>
      <c r="AQ43" s="339"/>
      <c r="AR43" s="336"/>
      <c r="AS43" s="336"/>
      <c r="AT43" s="337"/>
      <c r="AU43" s="338"/>
      <c r="AV43" s="338"/>
      <c r="AW43" s="339"/>
      <c r="AX43" s="336"/>
      <c r="AY43" s="336"/>
      <c r="AZ43" s="337"/>
      <c r="BA43" s="338"/>
      <c r="BB43" s="338"/>
      <c r="BC43" s="339"/>
      <c r="BD43" s="336"/>
      <c r="BE43" s="336"/>
      <c r="BF43" s="337"/>
      <c r="BG43" s="338"/>
      <c r="BH43" s="338"/>
      <c r="BI43" s="339"/>
      <c r="BJ43" s="336"/>
      <c r="BK43" s="336"/>
      <c r="BL43" s="337"/>
      <c r="BM43" s="338"/>
      <c r="BN43" s="338"/>
      <c r="BO43" s="339"/>
      <c r="BP43" s="336"/>
      <c r="BQ43" s="336"/>
      <c r="BR43" s="337"/>
      <c r="BS43" s="338"/>
      <c r="BT43" s="338"/>
      <c r="BU43" s="339"/>
      <c r="BV43" s="336"/>
      <c r="BW43" s="336"/>
      <c r="BX43" s="337"/>
      <c r="BY43" s="338"/>
      <c r="BZ43" s="338"/>
      <c r="CA43" s="339"/>
      <c r="CB43" s="336"/>
      <c r="CC43" s="336"/>
      <c r="CD43" s="337"/>
      <c r="CE43" s="338"/>
      <c r="CF43" s="338"/>
      <c r="CG43" s="339"/>
      <c r="CH43" s="336"/>
      <c r="CI43" s="336"/>
      <c r="CJ43" s="337"/>
      <c r="CK43" s="338"/>
      <c r="CL43" s="338"/>
      <c r="CM43" s="339"/>
      <c r="CN43" s="336"/>
      <c r="CO43" s="336"/>
      <c r="CP43" s="337"/>
      <c r="CQ43" s="338"/>
      <c r="CR43" s="338"/>
      <c r="CS43" s="339"/>
      <c r="CT43" s="323"/>
      <c r="CU43" s="323"/>
      <c r="CV43" s="324"/>
      <c r="CW43" s="325"/>
      <c r="CX43" s="325"/>
      <c r="CY43" s="326"/>
      <c r="CZ43" s="323"/>
      <c r="DA43" s="323"/>
      <c r="DB43" s="324"/>
      <c r="DC43" s="169"/>
      <c r="DD43" s="169">
        <v>1</v>
      </c>
      <c r="DE43" s="172"/>
      <c r="DF43" s="173"/>
      <c r="DG43" s="172"/>
      <c r="DH43" s="172"/>
    </row>
    <row r="44" spans="1:112" ht="24.75" customHeight="1">
      <c r="A44" s="257">
        <f>'Danh muc'!A44</f>
        <v>37</v>
      </c>
      <c r="B44" s="258">
        <f>'Danh muc'!B44</f>
        <v>23082200</v>
      </c>
      <c r="C44" s="307" t="str">
        <f>'Danh muc'!C44</f>
        <v>Hồ Sóng Vổ</v>
      </c>
      <c r="D44" s="258" t="str">
        <f>'Danh muc'!E44</f>
        <v>Sản xuất</v>
      </c>
      <c r="E44" s="202">
        <f t="shared" si="0"/>
        <v>0</v>
      </c>
      <c r="F44" s="202">
        <f t="shared" si="1"/>
        <v>0</v>
      </c>
      <c r="G44" s="202">
        <f t="shared" si="2"/>
        <v>0</v>
      </c>
      <c r="H44" s="203">
        <f t="shared" si="3"/>
        <v>0</v>
      </c>
      <c r="I44" s="204">
        <f t="shared" si="3"/>
        <v>0</v>
      </c>
      <c r="J44" s="203">
        <f t="shared" si="4"/>
        <v>0</v>
      </c>
      <c r="K44" s="205">
        <f t="shared" si="5"/>
        <v>0</v>
      </c>
      <c r="L44" s="206">
        <f t="shared" si="6"/>
        <v>0</v>
      </c>
      <c r="M44" s="207">
        <f t="shared" si="7"/>
        <v>0</v>
      </c>
      <c r="N44" s="336"/>
      <c r="O44" s="336"/>
      <c r="P44" s="337"/>
      <c r="Q44" s="338"/>
      <c r="R44" s="338"/>
      <c r="S44" s="339"/>
      <c r="T44" s="336"/>
      <c r="U44" s="336"/>
      <c r="V44" s="337"/>
      <c r="W44" s="338"/>
      <c r="X44" s="338"/>
      <c r="Y44" s="339"/>
      <c r="Z44" s="336"/>
      <c r="AA44" s="336"/>
      <c r="AB44" s="337"/>
      <c r="AC44" s="338"/>
      <c r="AD44" s="338"/>
      <c r="AE44" s="339"/>
      <c r="AF44" s="336"/>
      <c r="AG44" s="336"/>
      <c r="AH44" s="337"/>
      <c r="AI44" s="338"/>
      <c r="AJ44" s="338"/>
      <c r="AK44" s="339"/>
      <c r="AL44" s="336"/>
      <c r="AM44" s="336"/>
      <c r="AN44" s="337"/>
      <c r="AO44" s="338"/>
      <c r="AP44" s="338"/>
      <c r="AQ44" s="339"/>
      <c r="AR44" s="336"/>
      <c r="AS44" s="336"/>
      <c r="AT44" s="337"/>
      <c r="AU44" s="338"/>
      <c r="AV44" s="338"/>
      <c r="AW44" s="339"/>
      <c r="AX44" s="336"/>
      <c r="AY44" s="336"/>
      <c r="AZ44" s="337"/>
      <c r="BA44" s="338"/>
      <c r="BB44" s="338"/>
      <c r="BC44" s="339"/>
      <c r="BD44" s="336"/>
      <c r="BE44" s="336"/>
      <c r="BF44" s="337"/>
      <c r="BG44" s="338"/>
      <c r="BH44" s="338"/>
      <c r="BI44" s="339"/>
      <c r="BJ44" s="336"/>
      <c r="BK44" s="336"/>
      <c r="BL44" s="337"/>
      <c r="BM44" s="338"/>
      <c r="BN44" s="338"/>
      <c r="BO44" s="339"/>
      <c r="BP44" s="336"/>
      <c r="BQ44" s="336"/>
      <c r="BR44" s="337"/>
      <c r="BS44" s="338"/>
      <c r="BT44" s="338"/>
      <c r="BU44" s="339"/>
      <c r="BV44" s="336"/>
      <c r="BW44" s="336"/>
      <c r="BX44" s="337"/>
      <c r="BY44" s="338"/>
      <c r="BZ44" s="338"/>
      <c r="CA44" s="339"/>
      <c r="CB44" s="336"/>
      <c r="CC44" s="336"/>
      <c r="CD44" s="337"/>
      <c r="CE44" s="338"/>
      <c r="CF44" s="338"/>
      <c r="CG44" s="339"/>
      <c r="CH44" s="336"/>
      <c r="CI44" s="336"/>
      <c r="CJ44" s="337"/>
      <c r="CK44" s="338"/>
      <c r="CL44" s="338"/>
      <c r="CM44" s="339"/>
      <c r="CN44" s="336"/>
      <c r="CO44" s="336"/>
      <c r="CP44" s="337"/>
      <c r="CQ44" s="338"/>
      <c r="CR44" s="338"/>
      <c r="CS44" s="339"/>
      <c r="CT44" s="323"/>
      <c r="CU44" s="323"/>
      <c r="CV44" s="324"/>
      <c r="CW44" s="325"/>
      <c r="CX44" s="325"/>
      <c r="CY44" s="326"/>
      <c r="CZ44" s="323"/>
      <c r="DA44" s="323"/>
      <c r="DB44" s="324"/>
      <c r="DC44" s="169"/>
      <c r="DD44" s="169">
        <v>1</v>
      </c>
      <c r="DE44" s="172"/>
      <c r="DF44" s="173"/>
      <c r="DG44" s="172"/>
      <c r="DH44" s="172"/>
    </row>
    <row r="45" spans="1:112" ht="24.75" customHeight="1">
      <c r="A45" s="257">
        <f>'Danh muc'!A45</f>
        <v>38</v>
      </c>
      <c r="B45" s="258">
        <f>'Danh muc'!B45</f>
        <v>23081500</v>
      </c>
      <c r="C45" s="307" t="str">
        <f>'Danh muc'!C45</f>
        <v>Nguyễn Thị Nhớ</v>
      </c>
      <c r="D45" s="258" t="str">
        <f>'Danh muc'!E45</f>
        <v>Sản xuất</v>
      </c>
      <c r="E45" s="202">
        <f t="shared" si="0"/>
        <v>0</v>
      </c>
      <c r="F45" s="202">
        <f t="shared" si="1"/>
        <v>0</v>
      </c>
      <c r="G45" s="202">
        <f t="shared" si="2"/>
        <v>0</v>
      </c>
      <c r="H45" s="203">
        <f t="shared" si="3"/>
        <v>0</v>
      </c>
      <c r="I45" s="204">
        <f t="shared" si="3"/>
        <v>0</v>
      </c>
      <c r="J45" s="203">
        <f t="shared" si="4"/>
        <v>0</v>
      </c>
      <c r="K45" s="205">
        <f t="shared" si="5"/>
        <v>0</v>
      </c>
      <c r="L45" s="206">
        <f t="shared" si="6"/>
        <v>0</v>
      </c>
      <c r="M45" s="207">
        <f t="shared" si="7"/>
        <v>0</v>
      </c>
      <c r="N45" s="336"/>
      <c r="O45" s="336"/>
      <c r="P45" s="337"/>
      <c r="Q45" s="338"/>
      <c r="R45" s="338"/>
      <c r="S45" s="339"/>
      <c r="T45" s="336"/>
      <c r="U45" s="336"/>
      <c r="V45" s="337"/>
      <c r="W45" s="338"/>
      <c r="X45" s="338"/>
      <c r="Y45" s="339"/>
      <c r="Z45" s="336"/>
      <c r="AA45" s="336"/>
      <c r="AB45" s="337"/>
      <c r="AC45" s="338"/>
      <c r="AD45" s="338"/>
      <c r="AE45" s="339"/>
      <c r="AF45" s="336"/>
      <c r="AG45" s="336"/>
      <c r="AH45" s="337"/>
      <c r="AI45" s="338"/>
      <c r="AJ45" s="338"/>
      <c r="AK45" s="339"/>
      <c r="AL45" s="336"/>
      <c r="AM45" s="336"/>
      <c r="AN45" s="337"/>
      <c r="AO45" s="338"/>
      <c r="AP45" s="338"/>
      <c r="AQ45" s="339"/>
      <c r="AR45" s="336"/>
      <c r="AS45" s="336"/>
      <c r="AT45" s="337"/>
      <c r="AU45" s="338"/>
      <c r="AV45" s="338"/>
      <c r="AW45" s="339"/>
      <c r="AX45" s="336"/>
      <c r="AY45" s="336"/>
      <c r="AZ45" s="337"/>
      <c r="BA45" s="338"/>
      <c r="BB45" s="338"/>
      <c r="BC45" s="339"/>
      <c r="BD45" s="336"/>
      <c r="BE45" s="336"/>
      <c r="BF45" s="337"/>
      <c r="BG45" s="338"/>
      <c r="BH45" s="338"/>
      <c r="BI45" s="339"/>
      <c r="BJ45" s="336"/>
      <c r="BK45" s="336"/>
      <c r="BL45" s="337"/>
      <c r="BM45" s="338"/>
      <c r="BN45" s="338"/>
      <c r="BO45" s="339"/>
      <c r="BP45" s="336"/>
      <c r="BQ45" s="336"/>
      <c r="BR45" s="337"/>
      <c r="BS45" s="338"/>
      <c r="BT45" s="338"/>
      <c r="BU45" s="339"/>
      <c r="BV45" s="336"/>
      <c r="BW45" s="336"/>
      <c r="BX45" s="337"/>
      <c r="BY45" s="338"/>
      <c r="BZ45" s="338"/>
      <c r="CA45" s="339"/>
      <c r="CB45" s="336"/>
      <c r="CC45" s="336"/>
      <c r="CD45" s="337"/>
      <c r="CE45" s="338"/>
      <c r="CF45" s="338"/>
      <c r="CG45" s="339"/>
      <c r="CH45" s="336"/>
      <c r="CI45" s="336"/>
      <c r="CJ45" s="337"/>
      <c r="CK45" s="338"/>
      <c r="CL45" s="338"/>
      <c r="CM45" s="339"/>
      <c r="CN45" s="336"/>
      <c r="CO45" s="336"/>
      <c r="CP45" s="337"/>
      <c r="CQ45" s="338"/>
      <c r="CR45" s="338"/>
      <c r="CS45" s="339"/>
      <c r="CT45" s="323"/>
      <c r="CU45" s="323"/>
      <c r="CV45" s="324"/>
      <c r="CW45" s="325"/>
      <c r="CX45" s="325"/>
      <c r="CY45" s="326"/>
      <c r="CZ45" s="323"/>
      <c r="DA45" s="323"/>
      <c r="DB45" s="324"/>
      <c r="DC45" s="169"/>
      <c r="DD45" s="169">
        <v>1</v>
      </c>
      <c r="DE45" s="170"/>
      <c r="DF45" s="171"/>
      <c r="DG45" s="170"/>
      <c r="DH45" s="170"/>
    </row>
    <row r="46" spans="1:112" ht="24.75" customHeight="1">
      <c r="A46" s="257">
        <f>'Danh muc'!A46</f>
        <v>39</v>
      </c>
      <c r="B46" s="258">
        <f>'Danh muc'!B46</f>
        <v>24061301</v>
      </c>
      <c r="C46" s="307" t="str">
        <f>'Danh muc'!C46</f>
        <v>Hồ Văn Tùng</v>
      </c>
      <c r="D46" s="258" t="str">
        <f>'Danh muc'!E46</f>
        <v>Sản xuất</v>
      </c>
      <c r="E46" s="202">
        <f t="shared" si="0"/>
        <v>0</v>
      </c>
      <c r="F46" s="202">
        <f t="shared" si="1"/>
        <v>0</v>
      </c>
      <c r="G46" s="202">
        <f t="shared" si="2"/>
        <v>0</v>
      </c>
      <c r="H46" s="203">
        <f t="shared" si="3"/>
        <v>0</v>
      </c>
      <c r="I46" s="204">
        <f t="shared" si="3"/>
        <v>0</v>
      </c>
      <c r="J46" s="203">
        <f t="shared" si="4"/>
        <v>0</v>
      </c>
      <c r="K46" s="205">
        <f t="shared" si="5"/>
        <v>0</v>
      </c>
      <c r="L46" s="206">
        <f t="shared" si="6"/>
        <v>0</v>
      </c>
      <c r="M46" s="207">
        <f t="shared" si="7"/>
        <v>0</v>
      </c>
      <c r="N46" s="336"/>
      <c r="O46" s="336"/>
      <c r="P46" s="337"/>
      <c r="Q46" s="338"/>
      <c r="R46" s="338"/>
      <c r="S46" s="339"/>
      <c r="T46" s="336"/>
      <c r="U46" s="336"/>
      <c r="V46" s="337"/>
      <c r="W46" s="338"/>
      <c r="X46" s="338"/>
      <c r="Y46" s="339"/>
      <c r="Z46" s="336"/>
      <c r="AA46" s="336"/>
      <c r="AB46" s="337"/>
      <c r="AC46" s="338"/>
      <c r="AD46" s="338"/>
      <c r="AE46" s="339"/>
      <c r="AF46" s="336"/>
      <c r="AG46" s="336"/>
      <c r="AH46" s="337"/>
      <c r="AI46" s="338"/>
      <c r="AJ46" s="338"/>
      <c r="AK46" s="339"/>
      <c r="AL46" s="336"/>
      <c r="AM46" s="336"/>
      <c r="AN46" s="337"/>
      <c r="AO46" s="338"/>
      <c r="AP46" s="338"/>
      <c r="AQ46" s="339"/>
      <c r="AR46" s="336"/>
      <c r="AS46" s="336"/>
      <c r="AT46" s="337"/>
      <c r="AU46" s="338"/>
      <c r="AV46" s="338"/>
      <c r="AW46" s="339"/>
      <c r="AX46" s="336"/>
      <c r="AY46" s="336"/>
      <c r="AZ46" s="337"/>
      <c r="BA46" s="338"/>
      <c r="BB46" s="338"/>
      <c r="BC46" s="339"/>
      <c r="BD46" s="336"/>
      <c r="BE46" s="336"/>
      <c r="BF46" s="337"/>
      <c r="BG46" s="338"/>
      <c r="BH46" s="338"/>
      <c r="BI46" s="339"/>
      <c r="BJ46" s="336"/>
      <c r="BK46" s="336"/>
      <c r="BL46" s="337"/>
      <c r="BM46" s="338"/>
      <c r="BN46" s="338"/>
      <c r="BO46" s="339"/>
      <c r="BP46" s="336"/>
      <c r="BQ46" s="336"/>
      <c r="BR46" s="337"/>
      <c r="BS46" s="338"/>
      <c r="BT46" s="338"/>
      <c r="BU46" s="339"/>
      <c r="BV46" s="336"/>
      <c r="BW46" s="336"/>
      <c r="BX46" s="337"/>
      <c r="BY46" s="338"/>
      <c r="BZ46" s="338"/>
      <c r="CA46" s="339"/>
      <c r="CB46" s="336"/>
      <c r="CC46" s="336"/>
      <c r="CD46" s="337"/>
      <c r="CE46" s="338"/>
      <c r="CF46" s="338"/>
      <c r="CG46" s="339"/>
      <c r="CH46" s="336"/>
      <c r="CI46" s="336"/>
      <c r="CJ46" s="337"/>
      <c r="CK46" s="338"/>
      <c r="CL46" s="338"/>
      <c r="CM46" s="339"/>
      <c r="CN46" s="336"/>
      <c r="CO46" s="336"/>
      <c r="CP46" s="337"/>
      <c r="CQ46" s="338"/>
      <c r="CR46" s="338"/>
      <c r="CS46" s="339"/>
      <c r="CT46" s="323"/>
      <c r="CU46" s="323"/>
      <c r="CV46" s="324"/>
      <c r="CW46" s="325"/>
      <c r="CX46" s="325"/>
      <c r="CY46" s="326"/>
      <c r="CZ46" s="323"/>
      <c r="DA46" s="323"/>
      <c r="DB46" s="324"/>
      <c r="DC46" s="169"/>
      <c r="DD46" s="169">
        <v>1</v>
      </c>
      <c r="DE46" s="170"/>
      <c r="DF46" s="171"/>
      <c r="DG46" s="170"/>
      <c r="DH46" s="170"/>
    </row>
    <row r="47" spans="1:112" ht="24.75" customHeight="1">
      <c r="A47" s="257">
        <f>'Danh muc'!A47</f>
        <v>40</v>
      </c>
      <c r="B47" s="258">
        <f>'Danh muc'!B47</f>
        <v>22072300</v>
      </c>
      <c r="C47" s="307" t="str">
        <f>'Danh muc'!C47</f>
        <v>Hồ Thị Ngọc Hiền</v>
      </c>
      <c r="D47" s="258" t="str">
        <f>'Danh muc'!E47</f>
        <v>Sản xuất</v>
      </c>
      <c r="E47" s="202">
        <f t="shared" si="0"/>
        <v>0</v>
      </c>
      <c r="F47" s="202">
        <f t="shared" si="1"/>
        <v>0</v>
      </c>
      <c r="G47" s="202">
        <f>P47+S47+V47+Y47+AB47+AE47+AH47+AK47+AN47+AQ47+AT47+AW47+AZ47+BC47+BF47+BI47+BL47+BO47+BR47+BU47+BX47+CA47+CD47+CG47+CJ47+CM47+CP47+CS47+CV47+CY47+DB47</f>
        <v>0</v>
      </c>
      <c r="H47" s="203">
        <f t="shared" si="3"/>
        <v>0</v>
      </c>
      <c r="I47" s="204">
        <f t="shared" si="3"/>
        <v>0</v>
      </c>
      <c r="J47" s="203">
        <f t="shared" si="4"/>
        <v>0</v>
      </c>
      <c r="K47" s="205">
        <f t="shared" si="5"/>
        <v>0</v>
      </c>
      <c r="L47" s="206">
        <f t="shared" si="6"/>
        <v>0</v>
      </c>
      <c r="M47" s="207">
        <f t="shared" si="7"/>
        <v>0</v>
      </c>
      <c r="N47" s="336"/>
      <c r="O47" s="336"/>
      <c r="P47" s="337"/>
      <c r="Q47" s="338"/>
      <c r="R47" s="338"/>
      <c r="S47" s="339"/>
      <c r="T47" s="336"/>
      <c r="U47" s="336"/>
      <c r="V47" s="337"/>
      <c r="W47" s="338"/>
      <c r="X47" s="338"/>
      <c r="Y47" s="339"/>
      <c r="Z47" s="336"/>
      <c r="AA47" s="336"/>
      <c r="AB47" s="337"/>
      <c r="AC47" s="338"/>
      <c r="AD47" s="338"/>
      <c r="AE47" s="339"/>
      <c r="AF47" s="336"/>
      <c r="AG47" s="336"/>
      <c r="AH47" s="337"/>
      <c r="AI47" s="338"/>
      <c r="AJ47" s="338"/>
      <c r="AK47" s="339"/>
      <c r="AL47" s="336"/>
      <c r="AM47" s="336"/>
      <c r="AN47" s="337"/>
      <c r="AO47" s="338"/>
      <c r="AP47" s="338"/>
      <c r="AQ47" s="339"/>
      <c r="AR47" s="336"/>
      <c r="AS47" s="336"/>
      <c r="AT47" s="337"/>
      <c r="AU47" s="338"/>
      <c r="AV47" s="338"/>
      <c r="AW47" s="339"/>
      <c r="AX47" s="336"/>
      <c r="AY47" s="336"/>
      <c r="AZ47" s="337"/>
      <c r="BA47" s="338"/>
      <c r="BB47" s="338"/>
      <c r="BC47" s="339"/>
      <c r="BD47" s="336"/>
      <c r="BE47" s="336"/>
      <c r="BF47" s="337"/>
      <c r="BG47" s="338"/>
      <c r="BH47" s="338"/>
      <c r="BI47" s="339"/>
      <c r="BJ47" s="336"/>
      <c r="BK47" s="336"/>
      <c r="BL47" s="337"/>
      <c r="BM47" s="338"/>
      <c r="BN47" s="338"/>
      <c r="BO47" s="339"/>
      <c r="BP47" s="336"/>
      <c r="BQ47" s="336"/>
      <c r="BR47" s="337"/>
      <c r="BS47" s="338"/>
      <c r="BT47" s="338"/>
      <c r="BU47" s="339"/>
      <c r="BV47" s="336"/>
      <c r="BW47" s="336"/>
      <c r="BX47" s="337"/>
      <c r="BY47" s="338"/>
      <c r="BZ47" s="338"/>
      <c r="CA47" s="339"/>
      <c r="CB47" s="336"/>
      <c r="CC47" s="336"/>
      <c r="CD47" s="337"/>
      <c r="CE47" s="338"/>
      <c r="CF47" s="338"/>
      <c r="CG47" s="339"/>
      <c r="CH47" s="336"/>
      <c r="CI47" s="336"/>
      <c r="CJ47" s="337"/>
      <c r="CK47" s="338"/>
      <c r="CL47" s="338"/>
      <c r="CM47" s="339"/>
      <c r="CN47" s="336"/>
      <c r="CO47" s="336"/>
      <c r="CP47" s="337"/>
      <c r="CQ47" s="338"/>
      <c r="CR47" s="338"/>
      <c r="CS47" s="339"/>
      <c r="CT47" s="323"/>
      <c r="CU47" s="323"/>
      <c r="CV47" s="324"/>
      <c r="CW47" s="325"/>
      <c r="CX47" s="325"/>
      <c r="CY47" s="326"/>
      <c r="CZ47" s="323"/>
      <c r="DA47" s="323"/>
      <c r="DB47" s="324"/>
      <c r="DC47" s="169"/>
      <c r="DD47" s="169">
        <v>1</v>
      </c>
      <c r="DE47" s="170"/>
      <c r="DF47" s="170"/>
      <c r="DG47" s="170"/>
      <c r="DH47" s="170"/>
    </row>
    <row r="48" spans="1:112" ht="24.75" customHeight="1">
      <c r="A48" s="257">
        <f>'Danh muc'!A48</f>
        <v>41</v>
      </c>
      <c r="B48" s="258">
        <f>'Danh muc'!B48</f>
        <v>22103100</v>
      </c>
      <c r="C48" s="307" t="str">
        <f>'Danh muc'!C48</f>
        <v>Nguyễn Duy Linh</v>
      </c>
      <c r="D48" s="258" t="str">
        <f>'Danh muc'!E48</f>
        <v>Sản xuất</v>
      </c>
      <c r="E48" s="202">
        <f t="shared" si="0"/>
        <v>0</v>
      </c>
      <c r="F48" s="202">
        <f t="shared" si="1"/>
        <v>0</v>
      </c>
      <c r="G48" s="202">
        <f t="shared" si="2"/>
        <v>0</v>
      </c>
      <c r="H48" s="203">
        <f t="shared" si="3"/>
        <v>0</v>
      </c>
      <c r="I48" s="204">
        <f t="shared" si="3"/>
        <v>0</v>
      </c>
      <c r="J48" s="203">
        <f t="shared" si="4"/>
        <v>0</v>
      </c>
      <c r="K48" s="205">
        <f t="shared" si="5"/>
        <v>0</v>
      </c>
      <c r="L48" s="206">
        <f t="shared" si="6"/>
        <v>0</v>
      </c>
      <c r="M48" s="207">
        <f t="shared" si="7"/>
        <v>0</v>
      </c>
      <c r="N48" s="336"/>
      <c r="O48" s="336"/>
      <c r="P48" s="337"/>
      <c r="Q48" s="338"/>
      <c r="R48" s="338"/>
      <c r="S48" s="339"/>
      <c r="T48" s="336"/>
      <c r="U48" s="336"/>
      <c r="V48" s="337"/>
      <c r="W48" s="338"/>
      <c r="X48" s="338"/>
      <c r="Y48" s="339"/>
      <c r="Z48" s="336"/>
      <c r="AA48" s="336"/>
      <c r="AB48" s="337"/>
      <c r="AC48" s="338"/>
      <c r="AD48" s="338"/>
      <c r="AE48" s="339"/>
      <c r="AF48" s="336"/>
      <c r="AG48" s="336"/>
      <c r="AH48" s="337"/>
      <c r="AI48" s="338"/>
      <c r="AJ48" s="338"/>
      <c r="AK48" s="339"/>
      <c r="AL48" s="336"/>
      <c r="AM48" s="336"/>
      <c r="AN48" s="337"/>
      <c r="AO48" s="338"/>
      <c r="AP48" s="338"/>
      <c r="AQ48" s="339"/>
      <c r="AR48" s="336"/>
      <c r="AS48" s="336"/>
      <c r="AT48" s="337"/>
      <c r="AU48" s="338"/>
      <c r="AV48" s="338"/>
      <c r="AW48" s="339"/>
      <c r="AX48" s="336"/>
      <c r="AY48" s="336"/>
      <c r="AZ48" s="337"/>
      <c r="BA48" s="338"/>
      <c r="BB48" s="338"/>
      <c r="BC48" s="339"/>
      <c r="BD48" s="336"/>
      <c r="BE48" s="336"/>
      <c r="BF48" s="337"/>
      <c r="BG48" s="338"/>
      <c r="BH48" s="338"/>
      <c r="BI48" s="339"/>
      <c r="BJ48" s="336"/>
      <c r="BK48" s="336"/>
      <c r="BL48" s="337"/>
      <c r="BM48" s="338"/>
      <c r="BN48" s="338"/>
      <c r="BO48" s="339"/>
      <c r="BP48" s="336"/>
      <c r="BQ48" s="336"/>
      <c r="BR48" s="337"/>
      <c r="BS48" s="338"/>
      <c r="BT48" s="338"/>
      <c r="BU48" s="339"/>
      <c r="BV48" s="336"/>
      <c r="BW48" s="336"/>
      <c r="BX48" s="337"/>
      <c r="BY48" s="338"/>
      <c r="BZ48" s="338"/>
      <c r="CA48" s="339"/>
      <c r="CB48" s="336"/>
      <c r="CC48" s="336"/>
      <c r="CD48" s="337"/>
      <c r="CE48" s="338"/>
      <c r="CF48" s="338"/>
      <c r="CG48" s="339"/>
      <c r="CH48" s="336"/>
      <c r="CI48" s="336"/>
      <c r="CJ48" s="337"/>
      <c r="CK48" s="338"/>
      <c r="CL48" s="338"/>
      <c r="CM48" s="339"/>
      <c r="CN48" s="336"/>
      <c r="CO48" s="336"/>
      <c r="CP48" s="337"/>
      <c r="CQ48" s="338"/>
      <c r="CR48" s="338"/>
      <c r="CS48" s="339"/>
      <c r="CT48" s="323"/>
      <c r="CU48" s="323"/>
      <c r="CV48" s="324"/>
      <c r="CW48" s="325"/>
      <c r="CX48" s="325"/>
      <c r="CY48" s="326"/>
      <c r="CZ48" s="323"/>
      <c r="DA48" s="323"/>
      <c r="DB48" s="324"/>
      <c r="DC48" s="169"/>
      <c r="DD48" s="169">
        <v>1</v>
      </c>
      <c r="DE48" s="170"/>
      <c r="DF48" s="171"/>
      <c r="DG48" s="170"/>
      <c r="DH48" s="170"/>
    </row>
    <row r="49" spans="1:112" ht="24.75" customHeight="1">
      <c r="A49" s="257">
        <f>'Danh muc'!A49</f>
        <v>42</v>
      </c>
      <c r="B49" s="258">
        <f>'Danh muc'!B49</f>
        <v>25062300</v>
      </c>
      <c r="C49" s="307" t="str">
        <f>'Danh muc'!C49</f>
        <v>Nguyễn Thị Kim Anh</v>
      </c>
      <c r="D49" s="258" t="str">
        <f>'Danh muc'!E49</f>
        <v>Ngoại Quan</v>
      </c>
      <c r="E49" s="202">
        <f t="shared" si="0"/>
        <v>0</v>
      </c>
      <c r="F49" s="202">
        <f t="shared" si="1"/>
        <v>0</v>
      </c>
      <c r="G49" s="202">
        <f t="shared" si="2"/>
        <v>0</v>
      </c>
      <c r="H49" s="203">
        <f t="shared" si="3"/>
        <v>0</v>
      </c>
      <c r="I49" s="204">
        <f t="shared" si="3"/>
        <v>0</v>
      </c>
      <c r="J49" s="203">
        <f t="shared" si="4"/>
        <v>0</v>
      </c>
      <c r="K49" s="205">
        <f t="shared" si="5"/>
        <v>0</v>
      </c>
      <c r="L49" s="206">
        <f t="shared" si="6"/>
        <v>0</v>
      </c>
      <c r="M49" s="207">
        <f t="shared" si="7"/>
        <v>0</v>
      </c>
      <c r="N49" s="323"/>
      <c r="O49" s="323"/>
      <c r="P49" s="324"/>
      <c r="Q49" s="325"/>
      <c r="R49" s="325"/>
      <c r="S49" s="326"/>
      <c r="T49" s="323"/>
      <c r="U49" s="323"/>
      <c r="V49" s="324"/>
      <c r="W49" s="325"/>
      <c r="X49" s="325"/>
      <c r="Y49" s="326"/>
      <c r="Z49" s="323"/>
      <c r="AA49" s="323"/>
      <c r="AB49" s="324"/>
      <c r="AC49" s="325"/>
      <c r="AD49" s="325"/>
      <c r="AE49" s="326"/>
      <c r="AF49" s="323"/>
      <c r="AG49" s="323"/>
      <c r="AH49" s="324"/>
      <c r="AI49" s="325"/>
      <c r="AJ49" s="325"/>
      <c r="AK49" s="326"/>
      <c r="AL49" s="323"/>
      <c r="AM49" s="323"/>
      <c r="AN49" s="324"/>
      <c r="AO49" s="325"/>
      <c r="AP49" s="325"/>
      <c r="AQ49" s="326"/>
      <c r="AR49" s="323"/>
      <c r="AS49" s="323"/>
      <c r="AT49" s="324"/>
      <c r="AU49" s="325"/>
      <c r="AV49" s="325"/>
      <c r="AW49" s="326"/>
      <c r="AX49" s="323"/>
      <c r="AY49" s="323"/>
      <c r="AZ49" s="324"/>
      <c r="BA49" s="325"/>
      <c r="BB49" s="325"/>
      <c r="BC49" s="326"/>
      <c r="BD49" s="323"/>
      <c r="BE49" s="323"/>
      <c r="BF49" s="324"/>
      <c r="BG49" s="325"/>
      <c r="BH49" s="325"/>
      <c r="BI49" s="326"/>
      <c r="BJ49" s="323"/>
      <c r="BK49" s="323"/>
      <c r="BL49" s="324"/>
      <c r="BM49" s="325"/>
      <c r="BN49" s="325"/>
      <c r="BO49" s="326"/>
      <c r="BP49" s="323"/>
      <c r="BQ49" s="323"/>
      <c r="BR49" s="324"/>
      <c r="BS49" s="325"/>
      <c r="BT49" s="325"/>
      <c r="BU49" s="326"/>
      <c r="BV49" s="323"/>
      <c r="BW49" s="323"/>
      <c r="BX49" s="324"/>
      <c r="BY49" s="325"/>
      <c r="BZ49" s="325"/>
      <c r="CA49" s="326"/>
      <c r="CB49" s="323"/>
      <c r="CC49" s="323"/>
      <c r="CD49" s="324"/>
      <c r="CE49" s="325"/>
      <c r="CF49" s="325"/>
      <c r="CG49" s="326"/>
      <c r="CH49" s="323"/>
      <c r="CI49" s="323"/>
      <c r="CJ49" s="324"/>
      <c r="CK49" s="325"/>
      <c r="CL49" s="325"/>
      <c r="CM49" s="326"/>
      <c r="CN49" s="323"/>
      <c r="CO49" s="323"/>
      <c r="CP49" s="324"/>
      <c r="CQ49" s="325"/>
      <c r="CR49" s="325"/>
      <c r="CS49" s="326"/>
      <c r="CT49" s="323"/>
      <c r="CU49" s="323"/>
      <c r="CV49" s="324"/>
      <c r="CW49" s="325"/>
      <c r="CX49" s="325"/>
      <c r="CY49" s="326"/>
      <c r="CZ49" s="323"/>
      <c r="DA49" s="323"/>
      <c r="DB49" s="324"/>
      <c r="DC49" s="169"/>
      <c r="DD49" s="169">
        <v>1</v>
      </c>
      <c r="DE49" s="170"/>
      <c r="DF49" s="171"/>
      <c r="DG49" s="170"/>
      <c r="DH49" s="170"/>
    </row>
    <row r="50" spans="1:112" ht="24.75" customHeight="1">
      <c r="A50" s="257">
        <f>'Danh muc'!A50</f>
        <v>43</v>
      </c>
      <c r="B50" s="258">
        <f>'Danh muc'!B50</f>
        <v>24090700</v>
      </c>
      <c r="C50" s="307" t="str">
        <f>'Danh muc'!C50</f>
        <v>Lê Thị Cẩm Nhiên</v>
      </c>
      <c r="D50" s="258" t="str">
        <f>'Danh muc'!E50</f>
        <v>Sản xuất</v>
      </c>
      <c r="E50" s="202">
        <f t="shared" si="0"/>
        <v>0</v>
      </c>
      <c r="F50" s="202">
        <f t="shared" si="1"/>
        <v>0</v>
      </c>
      <c r="G50" s="202">
        <f t="shared" si="2"/>
        <v>0</v>
      </c>
      <c r="H50" s="203">
        <f t="shared" si="3"/>
        <v>0</v>
      </c>
      <c r="I50" s="204">
        <f t="shared" si="3"/>
        <v>0</v>
      </c>
      <c r="J50" s="203">
        <f t="shared" si="4"/>
        <v>0</v>
      </c>
      <c r="K50" s="205">
        <f t="shared" si="5"/>
        <v>0</v>
      </c>
      <c r="L50" s="206">
        <f t="shared" si="6"/>
        <v>0</v>
      </c>
      <c r="M50" s="207">
        <f t="shared" si="7"/>
        <v>0</v>
      </c>
      <c r="N50" s="336"/>
      <c r="O50" s="336"/>
      <c r="P50" s="337"/>
      <c r="Q50" s="338"/>
      <c r="R50" s="338"/>
      <c r="S50" s="339"/>
      <c r="T50" s="336"/>
      <c r="U50" s="336"/>
      <c r="V50" s="337"/>
      <c r="W50" s="338"/>
      <c r="X50" s="338"/>
      <c r="Y50" s="339"/>
      <c r="Z50" s="336"/>
      <c r="AA50" s="336"/>
      <c r="AB50" s="337"/>
      <c r="AC50" s="338"/>
      <c r="AD50" s="338"/>
      <c r="AE50" s="339"/>
      <c r="AF50" s="336"/>
      <c r="AG50" s="336"/>
      <c r="AH50" s="337"/>
      <c r="AI50" s="338"/>
      <c r="AJ50" s="338"/>
      <c r="AK50" s="339"/>
      <c r="AL50" s="336"/>
      <c r="AM50" s="336"/>
      <c r="AN50" s="337"/>
      <c r="AO50" s="338"/>
      <c r="AP50" s="338"/>
      <c r="AQ50" s="339"/>
      <c r="AR50" s="336"/>
      <c r="AS50" s="336"/>
      <c r="AT50" s="337"/>
      <c r="AU50" s="338"/>
      <c r="AV50" s="338"/>
      <c r="AW50" s="339"/>
      <c r="AX50" s="336"/>
      <c r="AY50" s="336"/>
      <c r="AZ50" s="337"/>
      <c r="BA50" s="338"/>
      <c r="BB50" s="338"/>
      <c r="BC50" s="339"/>
      <c r="BD50" s="336"/>
      <c r="BE50" s="336"/>
      <c r="BF50" s="337"/>
      <c r="BG50" s="338"/>
      <c r="BH50" s="338"/>
      <c r="BI50" s="339"/>
      <c r="BJ50" s="336"/>
      <c r="BK50" s="336"/>
      <c r="BL50" s="337"/>
      <c r="BM50" s="338"/>
      <c r="BN50" s="338"/>
      <c r="BO50" s="339"/>
      <c r="BP50" s="336"/>
      <c r="BQ50" s="336"/>
      <c r="BR50" s="337"/>
      <c r="BS50" s="338"/>
      <c r="BT50" s="338"/>
      <c r="BU50" s="339"/>
      <c r="BV50" s="336"/>
      <c r="BW50" s="336"/>
      <c r="BX50" s="337"/>
      <c r="BY50" s="338"/>
      <c r="BZ50" s="338"/>
      <c r="CA50" s="339"/>
      <c r="CB50" s="336"/>
      <c r="CC50" s="336"/>
      <c r="CD50" s="337"/>
      <c r="CE50" s="338"/>
      <c r="CF50" s="338"/>
      <c r="CG50" s="339"/>
      <c r="CH50" s="336"/>
      <c r="CI50" s="336"/>
      <c r="CJ50" s="337"/>
      <c r="CK50" s="338"/>
      <c r="CL50" s="338"/>
      <c r="CM50" s="339"/>
      <c r="CN50" s="336"/>
      <c r="CO50" s="336"/>
      <c r="CP50" s="337"/>
      <c r="CQ50" s="338"/>
      <c r="CR50" s="338"/>
      <c r="CS50" s="339"/>
      <c r="CT50" s="323"/>
      <c r="CU50" s="323"/>
      <c r="CV50" s="324"/>
      <c r="CW50" s="325"/>
      <c r="CX50" s="325"/>
      <c r="CY50" s="326"/>
      <c r="CZ50" s="323"/>
      <c r="DA50" s="323"/>
      <c r="DB50" s="324"/>
      <c r="DC50" s="169"/>
      <c r="DD50" s="169">
        <v>1</v>
      </c>
      <c r="DE50" s="170"/>
      <c r="DF50" s="171"/>
      <c r="DG50" s="170"/>
      <c r="DH50" s="170"/>
    </row>
    <row r="51" spans="1:112" ht="24.75" customHeight="1">
      <c r="A51" s="257">
        <f>'Danh muc'!A51</f>
        <v>44</v>
      </c>
      <c r="B51" s="258">
        <f>'Danh muc'!B51</f>
        <v>23061400</v>
      </c>
      <c r="C51" s="307" t="str">
        <f>'Danh muc'!C51</f>
        <v>Nguyễn Thị Hoa</v>
      </c>
      <c r="D51" s="258" t="str">
        <f>'Danh muc'!E51</f>
        <v>Sản xuất</v>
      </c>
      <c r="E51" s="202">
        <f t="shared" si="0"/>
        <v>0</v>
      </c>
      <c r="F51" s="202">
        <f t="shared" si="1"/>
        <v>0</v>
      </c>
      <c r="G51" s="202">
        <f t="shared" si="2"/>
        <v>0</v>
      </c>
      <c r="H51" s="203">
        <f t="shared" si="3"/>
        <v>0</v>
      </c>
      <c r="I51" s="204">
        <f t="shared" si="3"/>
        <v>0</v>
      </c>
      <c r="J51" s="203">
        <f t="shared" si="4"/>
        <v>0</v>
      </c>
      <c r="K51" s="205">
        <f t="shared" si="5"/>
        <v>0</v>
      </c>
      <c r="L51" s="206">
        <f t="shared" si="6"/>
        <v>0</v>
      </c>
      <c r="M51" s="207">
        <f t="shared" si="7"/>
        <v>0</v>
      </c>
      <c r="N51" s="336"/>
      <c r="O51" s="336"/>
      <c r="P51" s="337"/>
      <c r="Q51" s="338"/>
      <c r="R51" s="338"/>
      <c r="S51" s="339"/>
      <c r="T51" s="336"/>
      <c r="U51" s="336"/>
      <c r="V51" s="337"/>
      <c r="W51" s="338"/>
      <c r="X51" s="338"/>
      <c r="Y51" s="339"/>
      <c r="Z51" s="336"/>
      <c r="AA51" s="336"/>
      <c r="AB51" s="337"/>
      <c r="AC51" s="338"/>
      <c r="AD51" s="338"/>
      <c r="AE51" s="339"/>
      <c r="AF51" s="336"/>
      <c r="AG51" s="336"/>
      <c r="AH51" s="337"/>
      <c r="AI51" s="338"/>
      <c r="AJ51" s="338"/>
      <c r="AK51" s="339"/>
      <c r="AL51" s="336"/>
      <c r="AM51" s="336"/>
      <c r="AN51" s="337"/>
      <c r="AO51" s="338"/>
      <c r="AP51" s="338"/>
      <c r="AQ51" s="339"/>
      <c r="AR51" s="336"/>
      <c r="AS51" s="336"/>
      <c r="AT51" s="337"/>
      <c r="AU51" s="338"/>
      <c r="AV51" s="338"/>
      <c r="AW51" s="339"/>
      <c r="AX51" s="336"/>
      <c r="AY51" s="336"/>
      <c r="AZ51" s="337"/>
      <c r="BA51" s="338"/>
      <c r="BB51" s="338"/>
      <c r="BC51" s="339"/>
      <c r="BD51" s="336"/>
      <c r="BE51" s="336"/>
      <c r="BF51" s="337"/>
      <c r="BG51" s="338"/>
      <c r="BH51" s="338"/>
      <c r="BI51" s="339"/>
      <c r="BJ51" s="336"/>
      <c r="BK51" s="336"/>
      <c r="BL51" s="337"/>
      <c r="BM51" s="338"/>
      <c r="BN51" s="338"/>
      <c r="BO51" s="339"/>
      <c r="BP51" s="336"/>
      <c r="BQ51" s="336"/>
      <c r="BR51" s="337"/>
      <c r="BS51" s="338"/>
      <c r="BT51" s="338"/>
      <c r="BU51" s="339"/>
      <c r="BV51" s="336"/>
      <c r="BW51" s="336"/>
      <c r="BX51" s="337"/>
      <c r="BY51" s="338"/>
      <c r="BZ51" s="338"/>
      <c r="CA51" s="339"/>
      <c r="CB51" s="336"/>
      <c r="CC51" s="336"/>
      <c r="CD51" s="337"/>
      <c r="CE51" s="338"/>
      <c r="CF51" s="338"/>
      <c r="CG51" s="339"/>
      <c r="CH51" s="336"/>
      <c r="CI51" s="336"/>
      <c r="CJ51" s="337"/>
      <c r="CK51" s="338"/>
      <c r="CL51" s="338"/>
      <c r="CM51" s="339"/>
      <c r="CN51" s="336"/>
      <c r="CO51" s="336"/>
      <c r="CP51" s="337"/>
      <c r="CQ51" s="338"/>
      <c r="CR51" s="338"/>
      <c r="CS51" s="339"/>
      <c r="CT51" s="323"/>
      <c r="CU51" s="323"/>
      <c r="CV51" s="324"/>
      <c r="CW51" s="325"/>
      <c r="CX51" s="325"/>
      <c r="CY51" s="326"/>
      <c r="CZ51" s="323"/>
      <c r="DA51" s="323"/>
      <c r="DB51" s="324"/>
      <c r="DC51" s="169"/>
      <c r="DD51" s="169">
        <v>1</v>
      </c>
      <c r="DE51" s="170"/>
      <c r="DF51" s="171"/>
      <c r="DG51" s="170"/>
      <c r="DH51" s="170"/>
    </row>
    <row r="52" spans="1:112" ht="24.75" customHeight="1">
      <c r="A52" s="257">
        <f>'Danh muc'!A52</f>
        <v>45</v>
      </c>
      <c r="B52" s="258">
        <f>'Danh muc'!B52</f>
        <v>24051300</v>
      </c>
      <c r="C52" s="307" t="str">
        <f>'Danh muc'!C52</f>
        <v>Lê Văn Kiệt</v>
      </c>
      <c r="D52" s="258" t="str">
        <f>'Danh muc'!E52</f>
        <v>Sản xuất</v>
      </c>
      <c r="E52" s="202">
        <f t="shared" si="0"/>
        <v>0</v>
      </c>
      <c r="F52" s="202">
        <f t="shared" si="1"/>
        <v>0</v>
      </c>
      <c r="G52" s="202">
        <f t="shared" si="2"/>
        <v>0</v>
      </c>
      <c r="H52" s="203">
        <f t="shared" si="3"/>
        <v>0</v>
      </c>
      <c r="I52" s="204">
        <f t="shared" si="3"/>
        <v>0</v>
      </c>
      <c r="J52" s="203">
        <f t="shared" si="4"/>
        <v>0</v>
      </c>
      <c r="K52" s="205">
        <f t="shared" si="5"/>
        <v>0</v>
      </c>
      <c r="L52" s="206">
        <f t="shared" si="6"/>
        <v>0</v>
      </c>
      <c r="M52" s="207">
        <f t="shared" si="7"/>
        <v>0</v>
      </c>
      <c r="N52" s="336"/>
      <c r="O52" s="336"/>
      <c r="P52" s="337"/>
      <c r="Q52" s="338"/>
      <c r="R52" s="338"/>
      <c r="S52" s="339"/>
      <c r="T52" s="336"/>
      <c r="U52" s="336"/>
      <c r="V52" s="337"/>
      <c r="W52" s="338"/>
      <c r="X52" s="338"/>
      <c r="Y52" s="339"/>
      <c r="Z52" s="336"/>
      <c r="AA52" s="336"/>
      <c r="AB52" s="337"/>
      <c r="AC52" s="338"/>
      <c r="AD52" s="338"/>
      <c r="AE52" s="339"/>
      <c r="AF52" s="336"/>
      <c r="AG52" s="336"/>
      <c r="AH52" s="337"/>
      <c r="AI52" s="338"/>
      <c r="AJ52" s="338"/>
      <c r="AK52" s="339"/>
      <c r="AL52" s="336"/>
      <c r="AM52" s="336"/>
      <c r="AN52" s="337"/>
      <c r="AO52" s="338"/>
      <c r="AP52" s="338"/>
      <c r="AQ52" s="339"/>
      <c r="AR52" s="336"/>
      <c r="AS52" s="336"/>
      <c r="AT52" s="337"/>
      <c r="AU52" s="338"/>
      <c r="AV52" s="338"/>
      <c r="AW52" s="339"/>
      <c r="AX52" s="336"/>
      <c r="AY52" s="336"/>
      <c r="AZ52" s="337"/>
      <c r="BA52" s="338"/>
      <c r="BB52" s="338"/>
      <c r="BC52" s="339"/>
      <c r="BD52" s="336"/>
      <c r="BE52" s="336"/>
      <c r="BF52" s="337"/>
      <c r="BG52" s="338"/>
      <c r="BH52" s="338"/>
      <c r="BI52" s="339"/>
      <c r="BJ52" s="336"/>
      <c r="BK52" s="336"/>
      <c r="BL52" s="337"/>
      <c r="BM52" s="338"/>
      <c r="BN52" s="338"/>
      <c r="BO52" s="339"/>
      <c r="BP52" s="336"/>
      <c r="BQ52" s="336"/>
      <c r="BR52" s="337"/>
      <c r="BS52" s="338"/>
      <c r="BT52" s="338"/>
      <c r="BU52" s="339"/>
      <c r="BV52" s="336"/>
      <c r="BW52" s="336"/>
      <c r="BX52" s="337"/>
      <c r="BY52" s="338"/>
      <c r="BZ52" s="338"/>
      <c r="CA52" s="339"/>
      <c r="CB52" s="336"/>
      <c r="CC52" s="336"/>
      <c r="CD52" s="337"/>
      <c r="CE52" s="338"/>
      <c r="CF52" s="338"/>
      <c r="CG52" s="339"/>
      <c r="CH52" s="336"/>
      <c r="CI52" s="336"/>
      <c r="CJ52" s="337"/>
      <c r="CK52" s="338"/>
      <c r="CL52" s="338"/>
      <c r="CM52" s="339"/>
      <c r="CN52" s="336"/>
      <c r="CO52" s="336"/>
      <c r="CP52" s="337"/>
      <c r="CQ52" s="338"/>
      <c r="CR52" s="338"/>
      <c r="CS52" s="339"/>
      <c r="CT52" s="323"/>
      <c r="CU52" s="323"/>
      <c r="CV52" s="324"/>
      <c r="CW52" s="325"/>
      <c r="CX52" s="325"/>
      <c r="CY52" s="326"/>
      <c r="CZ52" s="323"/>
      <c r="DA52" s="323"/>
      <c r="DB52" s="324"/>
      <c r="DC52" s="169"/>
      <c r="DD52" s="169">
        <v>1</v>
      </c>
      <c r="DE52" s="172"/>
      <c r="DF52" s="171"/>
      <c r="DG52" s="170"/>
      <c r="DH52" s="170"/>
    </row>
    <row r="53" spans="1:112" ht="24.75" customHeight="1">
      <c r="A53" s="257">
        <f>'Danh muc'!A53</f>
        <v>46</v>
      </c>
      <c r="B53" s="258">
        <f>'Danh muc'!B53</f>
        <v>24030300</v>
      </c>
      <c r="C53" s="259" t="str">
        <f>'Danh muc'!C53</f>
        <v>Nguyễn Đoàn Duy Khương</v>
      </c>
      <c r="D53" s="258" t="str">
        <f>'Danh muc'!E53</f>
        <v>Sản xuất</v>
      </c>
      <c r="E53" s="202">
        <f t="shared" si="0"/>
        <v>0</v>
      </c>
      <c r="F53" s="202">
        <f t="shared" si="1"/>
        <v>0</v>
      </c>
      <c r="G53" s="202">
        <f t="shared" si="2"/>
        <v>0</v>
      </c>
      <c r="H53" s="203">
        <f t="shared" si="3"/>
        <v>0</v>
      </c>
      <c r="I53" s="204">
        <f t="shared" si="3"/>
        <v>0</v>
      </c>
      <c r="J53" s="203">
        <f t="shared" si="4"/>
        <v>0</v>
      </c>
      <c r="K53" s="205">
        <f t="shared" si="5"/>
        <v>0</v>
      </c>
      <c r="L53" s="206">
        <f t="shared" si="6"/>
        <v>0</v>
      </c>
      <c r="M53" s="207">
        <f t="shared" si="7"/>
        <v>0</v>
      </c>
      <c r="N53" s="336"/>
      <c r="O53" s="336"/>
      <c r="P53" s="337"/>
      <c r="Q53" s="338"/>
      <c r="R53" s="338"/>
      <c r="S53" s="339"/>
      <c r="T53" s="336"/>
      <c r="U53" s="336"/>
      <c r="V53" s="337"/>
      <c r="W53" s="338"/>
      <c r="X53" s="338"/>
      <c r="Y53" s="339"/>
      <c r="Z53" s="336"/>
      <c r="AA53" s="336"/>
      <c r="AB53" s="337"/>
      <c r="AC53" s="338"/>
      <c r="AD53" s="338"/>
      <c r="AE53" s="339"/>
      <c r="AF53" s="336"/>
      <c r="AG53" s="336"/>
      <c r="AH53" s="337"/>
      <c r="AI53" s="338"/>
      <c r="AJ53" s="338"/>
      <c r="AK53" s="339"/>
      <c r="AL53" s="336"/>
      <c r="AM53" s="336"/>
      <c r="AN53" s="337"/>
      <c r="AO53" s="338"/>
      <c r="AP53" s="338"/>
      <c r="AQ53" s="339"/>
      <c r="AR53" s="336"/>
      <c r="AS53" s="336"/>
      <c r="AT53" s="337"/>
      <c r="AU53" s="338"/>
      <c r="AV53" s="338"/>
      <c r="AW53" s="339"/>
      <c r="AX53" s="336"/>
      <c r="AY53" s="336"/>
      <c r="AZ53" s="337"/>
      <c r="BA53" s="338"/>
      <c r="BB53" s="338"/>
      <c r="BC53" s="339"/>
      <c r="BD53" s="336"/>
      <c r="BE53" s="336"/>
      <c r="BF53" s="337"/>
      <c r="BG53" s="338"/>
      <c r="BH53" s="338"/>
      <c r="BI53" s="339"/>
      <c r="BJ53" s="336"/>
      <c r="BK53" s="336"/>
      <c r="BL53" s="337"/>
      <c r="BM53" s="338"/>
      <c r="BN53" s="338"/>
      <c r="BO53" s="339"/>
      <c r="BP53" s="336"/>
      <c r="BQ53" s="336"/>
      <c r="BR53" s="337"/>
      <c r="BS53" s="338"/>
      <c r="BT53" s="338"/>
      <c r="BU53" s="339"/>
      <c r="BV53" s="336"/>
      <c r="BW53" s="336"/>
      <c r="BX53" s="337"/>
      <c r="BY53" s="338"/>
      <c r="BZ53" s="338"/>
      <c r="CA53" s="339"/>
      <c r="CB53" s="336"/>
      <c r="CC53" s="336"/>
      <c r="CD53" s="337"/>
      <c r="CE53" s="338"/>
      <c r="CF53" s="338"/>
      <c r="CG53" s="339"/>
      <c r="CH53" s="336"/>
      <c r="CI53" s="336"/>
      <c r="CJ53" s="337"/>
      <c r="CK53" s="338"/>
      <c r="CL53" s="338"/>
      <c r="CM53" s="339"/>
      <c r="CN53" s="336"/>
      <c r="CO53" s="336"/>
      <c r="CP53" s="337"/>
      <c r="CQ53" s="338"/>
      <c r="CR53" s="338"/>
      <c r="CS53" s="339"/>
      <c r="CT53" s="323"/>
      <c r="CU53" s="323"/>
      <c r="CV53" s="324"/>
      <c r="CW53" s="325"/>
      <c r="CX53" s="325"/>
      <c r="CY53" s="326"/>
      <c r="CZ53" s="323"/>
      <c r="DA53" s="323"/>
      <c r="DB53" s="324"/>
      <c r="DC53" s="169"/>
      <c r="DD53" s="169">
        <v>1</v>
      </c>
      <c r="DE53" s="170"/>
      <c r="DF53" s="170"/>
      <c r="DG53" s="170"/>
      <c r="DH53" s="170"/>
    </row>
    <row r="54" spans="1:112" ht="24.75" customHeight="1">
      <c r="A54" s="257">
        <f>'Danh muc'!A54</f>
        <v>47</v>
      </c>
      <c r="B54" s="258">
        <f>'Danh muc'!B54</f>
        <v>17010101</v>
      </c>
      <c r="C54" s="259" t="str">
        <f>'Danh muc'!C54</f>
        <v>Nguyễn Minh Thùy</v>
      </c>
      <c r="D54" s="258" t="str">
        <f>'Danh muc'!E54</f>
        <v>Trưởng ca</v>
      </c>
      <c r="E54" s="202">
        <f t="shared" si="0"/>
        <v>0</v>
      </c>
      <c r="F54" s="202">
        <f t="shared" si="1"/>
        <v>0</v>
      </c>
      <c r="G54" s="202">
        <f t="shared" si="2"/>
        <v>0</v>
      </c>
      <c r="H54" s="203">
        <f t="shared" si="3"/>
        <v>0</v>
      </c>
      <c r="I54" s="204">
        <f t="shared" si="3"/>
        <v>0</v>
      </c>
      <c r="J54" s="203">
        <f t="shared" si="4"/>
        <v>0</v>
      </c>
      <c r="K54" s="205">
        <f t="shared" si="5"/>
        <v>0</v>
      </c>
      <c r="L54" s="206">
        <f t="shared" si="6"/>
        <v>0</v>
      </c>
      <c r="M54" s="207">
        <f t="shared" si="7"/>
        <v>0</v>
      </c>
      <c r="N54" s="336"/>
      <c r="O54" s="336"/>
      <c r="P54" s="337"/>
      <c r="Q54" s="338"/>
      <c r="R54" s="338"/>
      <c r="S54" s="339"/>
      <c r="T54" s="336"/>
      <c r="U54" s="336"/>
      <c r="V54" s="337"/>
      <c r="W54" s="338"/>
      <c r="X54" s="338"/>
      <c r="Y54" s="339"/>
      <c r="Z54" s="336"/>
      <c r="AA54" s="336"/>
      <c r="AB54" s="337"/>
      <c r="AC54" s="338"/>
      <c r="AD54" s="338"/>
      <c r="AE54" s="339"/>
      <c r="AF54" s="336"/>
      <c r="AG54" s="336"/>
      <c r="AH54" s="337"/>
      <c r="AI54" s="338"/>
      <c r="AJ54" s="338"/>
      <c r="AK54" s="339"/>
      <c r="AL54" s="336"/>
      <c r="AM54" s="336"/>
      <c r="AN54" s="337"/>
      <c r="AO54" s="338"/>
      <c r="AP54" s="338"/>
      <c r="AQ54" s="339"/>
      <c r="AR54" s="336"/>
      <c r="AS54" s="336"/>
      <c r="AT54" s="337"/>
      <c r="AU54" s="338"/>
      <c r="AV54" s="338"/>
      <c r="AW54" s="339"/>
      <c r="AX54" s="336"/>
      <c r="AY54" s="336"/>
      <c r="AZ54" s="337"/>
      <c r="BA54" s="338"/>
      <c r="BB54" s="338"/>
      <c r="BC54" s="339"/>
      <c r="BD54" s="336"/>
      <c r="BE54" s="336"/>
      <c r="BF54" s="337"/>
      <c r="BG54" s="338"/>
      <c r="BH54" s="338"/>
      <c r="BI54" s="339"/>
      <c r="BJ54" s="336"/>
      <c r="BK54" s="336"/>
      <c r="BL54" s="337"/>
      <c r="BM54" s="338"/>
      <c r="BN54" s="338"/>
      <c r="BO54" s="339"/>
      <c r="BP54" s="336"/>
      <c r="BQ54" s="336"/>
      <c r="BR54" s="337"/>
      <c r="BS54" s="338"/>
      <c r="BT54" s="338"/>
      <c r="BU54" s="339"/>
      <c r="BV54" s="336"/>
      <c r="BW54" s="336"/>
      <c r="BX54" s="337"/>
      <c r="BY54" s="338"/>
      <c r="BZ54" s="338"/>
      <c r="CA54" s="339"/>
      <c r="CB54" s="336"/>
      <c r="CC54" s="336"/>
      <c r="CD54" s="337"/>
      <c r="CE54" s="338"/>
      <c r="CF54" s="338"/>
      <c r="CG54" s="339"/>
      <c r="CH54" s="336"/>
      <c r="CI54" s="336"/>
      <c r="CJ54" s="337"/>
      <c r="CK54" s="338"/>
      <c r="CL54" s="338"/>
      <c r="CM54" s="339"/>
      <c r="CN54" s="336"/>
      <c r="CO54" s="336"/>
      <c r="CP54" s="337"/>
      <c r="CQ54" s="338"/>
      <c r="CR54" s="338"/>
      <c r="CS54" s="339"/>
      <c r="CT54" s="323"/>
      <c r="CU54" s="323"/>
      <c r="CV54" s="324"/>
      <c r="CW54" s="325"/>
      <c r="CX54" s="325"/>
      <c r="CY54" s="326"/>
      <c r="CZ54" s="323"/>
      <c r="DA54" s="323"/>
      <c r="DB54" s="324"/>
      <c r="DC54" s="169"/>
      <c r="DD54" s="169">
        <v>1</v>
      </c>
      <c r="DE54" s="170"/>
      <c r="DF54" s="171"/>
      <c r="DG54" s="170"/>
      <c r="DH54" s="170"/>
    </row>
    <row r="55" spans="1:112" ht="24.75" customHeight="1">
      <c r="A55" s="257">
        <f>'Danh muc'!A55</f>
        <v>48</v>
      </c>
      <c r="B55" s="258">
        <f>'Danh muc'!B55</f>
        <v>22031100</v>
      </c>
      <c r="C55" s="259" t="str">
        <f>'Danh muc'!C55</f>
        <v>Nguyễn Chí Nhân</v>
      </c>
      <c r="D55" s="258" t="str">
        <f>'Danh muc'!E55</f>
        <v>Trưởng ca</v>
      </c>
      <c r="E55" s="202">
        <f t="shared" si="0"/>
        <v>0</v>
      </c>
      <c r="F55" s="202">
        <f t="shared" si="1"/>
        <v>0</v>
      </c>
      <c r="G55" s="202">
        <f t="shared" si="2"/>
        <v>0</v>
      </c>
      <c r="H55" s="203">
        <f t="shared" ref="H55:H62" si="8">IF(N55&lt;=1,N55,0)+IF(Q55&lt;=1,Q55,0)+IF(T55&lt;=1,T55,0)+IF(W55&lt;=1,W55,0)+IF(Z55&lt;=1,Z55,0)+IF(AC55&lt;=1,AC55,0)+IF(AF55&lt;=1,AF55,0)+IF(AI55&lt;=1,AI55,0)+IF(AL55&lt;=1,AL55,0)+IF(AO55&lt;=1,AO55,0)+IF(AR55&lt;=1,AR55,0)+IF(AU55&lt;=1,AU55,0)+IF(AX55&lt;=1,AX55,0)+IF(BA55&lt;=1,BA55,0)+IF(BD55&lt;=1,BD55,0)+IF(BG55&lt;=1,BG55,0)+IF(BJ55&lt;=1,BJ55,0)+IF(BM55&lt;=1,BM55,0)+IF(BP55&lt;=1,BP55,0)+IF(BS55&lt;=1,BS55,0)+IF(BV55&lt;=1,BV55,0)+IF(BY55&lt;=1,BY55,0)+IF(CB55&lt;=1,CB55,0)+IF(CE55&lt;=1,CE55,0)+IF(CH55&lt;=1,CH55,0)+IF(CK55&lt;=1,CK55,0)+IF(CN55&lt;=1,CN55,0)+IF(CQ55&lt;=1,CQ55,0)+IF(CT55&lt;=1,CT55,0)+IF(CW55&lt;=1,CW55,0)+IF(CZ55&lt;=1,CZ55,0)</f>
        <v>0</v>
      </c>
      <c r="I55" s="204">
        <f t="shared" ref="I55:I62" si="9">IF(O55&lt;=1,O55,0)+IF(R55&lt;=1,R55,0)+IF(U55&lt;=1,U55,0)+IF(X55&lt;=1,X55,0)+IF(AA55&lt;=1,AA55,0)+IF(AD55&lt;=1,AD55,0)+IF(AG55&lt;=1,AG55,0)+IF(AJ55&lt;=1,AJ55,0)+IF(AM55&lt;=1,AM55,0)+IF(AP55&lt;=1,AP55,0)+IF(AS55&lt;=1,AS55,0)+IF(AV55&lt;=1,AV55,0)+IF(AY55&lt;=1,AY55,0)+IF(BB55&lt;=1,BB55,0)+IF(BE55&lt;=1,BE55,0)+IF(BH55&lt;=1,BH55,0)+IF(BK55&lt;=1,BK55,0)+IF(BN55&lt;=1,BN55,0)+IF(BQ55&lt;=1,BQ55,0)+IF(BT55&lt;=1,BT55,0)+IF(BW55&lt;=1,BW55,0)+IF(BZ55&lt;=1,BZ55,0)+IF(CC55&lt;=1,CC55,0)+IF(CF55&lt;=1,CF55,0)+IF(CI55&lt;=1,CI55,0)+IF(CL55&lt;=1,CL55,0)+IF(CO55&lt;=1,CO55,0)+IF(CR55&lt;=1,CR55,0)+IF(CU55&lt;=1,CU55,0)+IF(CX55&lt;=1,CX55,0)+IF(DA55&lt;=1,DA55,0)</f>
        <v>0</v>
      </c>
      <c r="J55" s="203">
        <f t="shared" ref="J55:J62" si="10">IF(N55=1,P55,0)+IF(Q55=1,S55,0)+IF(T55=1,V55,0)+IF(W55=1,Y55,0)+IF(Z55=1,AB55,0)+IF(AC55=1,AE55,0)+IF(AF55=1,AH55,0)+IF(AI55=1,AK55,0)+IF(AL55=1,AN55,0)+IF(AO55=1,AQ55,0)+IF(AR55=1,AT55,0)+IF(AU55=1,AW55,0)+IF(AX55=1,AZ55,0)+IF(BA55=1,BC55,0)+IF(BD55=1,BF55,0)+IF(BG55=1,BI55,0)+IF(BJ55=1,BL55,0)+IF(BM55=1,BO55,0)+IF(BP55=1,BR55,0)+IF(BS55=1,BU55,0)+IF(BV55=1,BX55,0)+IF(BY55=1,CA55,0)+IF(CB55=1,CD55,0)+IF(CE55=1,CG55,0)+IF(CH55=1,CJ55,0)+IF(CK55=1,CM55,0)+IF(CN55=1,CP55,0)+IF(CQ55=1,CS55,0)+IF(CT55=1,CV55,0)+IF(CW55=1,CY55,0)+IF(CZ55=1,DB55,0)</f>
        <v>0</v>
      </c>
      <c r="K55" s="205">
        <f t="shared" si="5"/>
        <v>0</v>
      </c>
      <c r="L55" s="206">
        <f t="shared" si="6"/>
        <v>0</v>
      </c>
      <c r="M55" s="207">
        <f t="shared" si="7"/>
        <v>0</v>
      </c>
      <c r="N55" s="336"/>
      <c r="O55" s="336"/>
      <c r="P55" s="337"/>
      <c r="Q55" s="338"/>
      <c r="R55" s="338"/>
      <c r="S55" s="339"/>
      <c r="T55" s="336"/>
      <c r="U55" s="336"/>
      <c r="V55" s="337"/>
      <c r="W55" s="338"/>
      <c r="X55" s="338"/>
      <c r="Y55" s="339"/>
      <c r="Z55" s="336"/>
      <c r="AA55" s="336"/>
      <c r="AB55" s="337"/>
      <c r="AC55" s="338"/>
      <c r="AD55" s="338"/>
      <c r="AE55" s="339"/>
      <c r="AF55" s="336"/>
      <c r="AG55" s="336"/>
      <c r="AH55" s="337"/>
      <c r="AI55" s="338"/>
      <c r="AJ55" s="338"/>
      <c r="AK55" s="339"/>
      <c r="AL55" s="336"/>
      <c r="AM55" s="336"/>
      <c r="AN55" s="337"/>
      <c r="AO55" s="338"/>
      <c r="AP55" s="338"/>
      <c r="AQ55" s="339"/>
      <c r="AR55" s="336"/>
      <c r="AS55" s="336"/>
      <c r="AT55" s="337"/>
      <c r="AU55" s="338"/>
      <c r="AV55" s="338"/>
      <c r="AW55" s="339"/>
      <c r="AX55" s="336"/>
      <c r="AY55" s="336"/>
      <c r="AZ55" s="337"/>
      <c r="BA55" s="338"/>
      <c r="BB55" s="338"/>
      <c r="BC55" s="339"/>
      <c r="BD55" s="336"/>
      <c r="BE55" s="336"/>
      <c r="BF55" s="337"/>
      <c r="BG55" s="338"/>
      <c r="BH55" s="338"/>
      <c r="BI55" s="339"/>
      <c r="BJ55" s="336"/>
      <c r="BK55" s="336"/>
      <c r="BL55" s="337"/>
      <c r="BM55" s="338"/>
      <c r="BN55" s="338"/>
      <c r="BO55" s="339"/>
      <c r="BP55" s="336"/>
      <c r="BQ55" s="336"/>
      <c r="BR55" s="337"/>
      <c r="BS55" s="338"/>
      <c r="BT55" s="338"/>
      <c r="BU55" s="339"/>
      <c r="BV55" s="336"/>
      <c r="BW55" s="336"/>
      <c r="BX55" s="337"/>
      <c r="BY55" s="338"/>
      <c r="BZ55" s="338"/>
      <c r="CA55" s="339"/>
      <c r="CB55" s="336"/>
      <c r="CC55" s="336"/>
      <c r="CD55" s="337"/>
      <c r="CE55" s="338"/>
      <c r="CF55" s="338"/>
      <c r="CG55" s="339"/>
      <c r="CH55" s="336"/>
      <c r="CI55" s="336"/>
      <c r="CJ55" s="337"/>
      <c r="CK55" s="338"/>
      <c r="CL55" s="338"/>
      <c r="CM55" s="339"/>
      <c r="CN55" s="336"/>
      <c r="CO55" s="336"/>
      <c r="CP55" s="337"/>
      <c r="CQ55" s="338"/>
      <c r="CR55" s="338"/>
      <c r="CS55" s="339"/>
      <c r="CT55" s="323"/>
      <c r="CU55" s="323"/>
      <c r="CV55" s="324"/>
      <c r="CW55" s="325"/>
      <c r="CX55" s="325"/>
      <c r="CY55" s="326"/>
      <c r="CZ55" s="323"/>
      <c r="DA55" s="323"/>
      <c r="DB55" s="324"/>
      <c r="DC55" s="169"/>
      <c r="DD55" s="169">
        <v>1</v>
      </c>
      <c r="DE55" s="170"/>
      <c r="DF55" s="171"/>
      <c r="DG55" s="170"/>
      <c r="DH55" s="170"/>
    </row>
    <row r="56" spans="1:112" ht="24.75" customHeight="1">
      <c r="A56" s="257">
        <f>'Danh muc'!A56</f>
        <v>49</v>
      </c>
      <c r="B56" s="258">
        <f>'Danh muc'!B56</f>
        <v>22091400</v>
      </c>
      <c r="C56" s="259" t="str">
        <f>'Danh muc'!C56</f>
        <v>Tăng Thị Vành Na</v>
      </c>
      <c r="D56" s="258" t="str">
        <f>'Danh muc'!E56</f>
        <v>Sản xuất</v>
      </c>
      <c r="E56" s="202">
        <f t="shared" si="0"/>
        <v>0</v>
      </c>
      <c r="F56" s="202">
        <f t="shared" si="1"/>
        <v>0</v>
      </c>
      <c r="G56" s="202">
        <f t="shared" si="2"/>
        <v>0</v>
      </c>
      <c r="H56" s="203">
        <f t="shared" si="8"/>
        <v>0</v>
      </c>
      <c r="I56" s="204">
        <f t="shared" si="9"/>
        <v>0</v>
      </c>
      <c r="J56" s="203">
        <f t="shared" si="10"/>
        <v>0</v>
      </c>
      <c r="K56" s="205">
        <f t="shared" si="5"/>
        <v>0</v>
      </c>
      <c r="L56" s="206">
        <f t="shared" si="6"/>
        <v>0</v>
      </c>
      <c r="M56" s="207">
        <f t="shared" si="7"/>
        <v>0</v>
      </c>
      <c r="N56" s="336"/>
      <c r="O56" s="336"/>
      <c r="P56" s="337"/>
      <c r="Q56" s="338"/>
      <c r="R56" s="338"/>
      <c r="S56" s="339"/>
      <c r="T56" s="336"/>
      <c r="U56" s="336"/>
      <c r="V56" s="337"/>
      <c r="W56" s="338"/>
      <c r="X56" s="338"/>
      <c r="Y56" s="339"/>
      <c r="Z56" s="336"/>
      <c r="AA56" s="336"/>
      <c r="AB56" s="337"/>
      <c r="AC56" s="338"/>
      <c r="AD56" s="338"/>
      <c r="AE56" s="339"/>
      <c r="AF56" s="336"/>
      <c r="AG56" s="336"/>
      <c r="AH56" s="337"/>
      <c r="AI56" s="338"/>
      <c r="AJ56" s="338"/>
      <c r="AK56" s="339"/>
      <c r="AL56" s="336"/>
      <c r="AM56" s="336"/>
      <c r="AN56" s="337"/>
      <c r="AO56" s="338"/>
      <c r="AP56" s="338"/>
      <c r="AQ56" s="339"/>
      <c r="AR56" s="336"/>
      <c r="AS56" s="336"/>
      <c r="AT56" s="337"/>
      <c r="AU56" s="338"/>
      <c r="AV56" s="338"/>
      <c r="AW56" s="339"/>
      <c r="AX56" s="336"/>
      <c r="AY56" s="336"/>
      <c r="AZ56" s="337"/>
      <c r="BA56" s="338"/>
      <c r="BB56" s="338"/>
      <c r="BC56" s="339"/>
      <c r="BD56" s="336"/>
      <c r="BE56" s="336"/>
      <c r="BF56" s="337"/>
      <c r="BG56" s="338"/>
      <c r="BH56" s="338"/>
      <c r="BI56" s="339"/>
      <c r="BJ56" s="336"/>
      <c r="BK56" s="336"/>
      <c r="BL56" s="337"/>
      <c r="BM56" s="338"/>
      <c r="BN56" s="338"/>
      <c r="BO56" s="339"/>
      <c r="BP56" s="336"/>
      <c r="BQ56" s="336"/>
      <c r="BR56" s="337"/>
      <c r="BS56" s="338"/>
      <c r="BT56" s="338"/>
      <c r="BU56" s="339"/>
      <c r="BV56" s="336"/>
      <c r="BW56" s="336"/>
      <c r="BX56" s="337"/>
      <c r="BY56" s="338"/>
      <c r="BZ56" s="338"/>
      <c r="CA56" s="339"/>
      <c r="CB56" s="336"/>
      <c r="CC56" s="336"/>
      <c r="CD56" s="337"/>
      <c r="CE56" s="338"/>
      <c r="CF56" s="338"/>
      <c r="CG56" s="339"/>
      <c r="CH56" s="336"/>
      <c r="CI56" s="336"/>
      <c r="CJ56" s="337"/>
      <c r="CK56" s="338"/>
      <c r="CL56" s="338"/>
      <c r="CM56" s="339"/>
      <c r="CN56" s="336"/>
      <c r="CO56" s="336"/>
      <c r="CP56" s="337"/>
      <c r="CQ56" s="338"/>
      <c r="CR56" s="338"/>
      <c r="CS56" s="339"/>
      <c r="CT56" s="323"/>
      <c r="CU56" s="323"/>
      <c r="CV56" s="324"/>
      <c r="CW56" s="325"/>
      <c r="CX56" s="325"/>
      <c r="CY56" s="326"/>
      <c r="CZ56" s="323"/>
      <c r="DA56" s="323"/>
      <c r="DB56" s="324"/>
      <c r="DC56" s="169"/>
      <c r="DD56" s="169">
        <v>1</v>
      </c>
      <c r="DE56" s="170"/>
      <c r="DF56" s="171"/>
      <c r="DG56" s="170"/>
      <c r="DH56" s="170"/>
    </row>
    <row r="57" spans="1:112" ht="24.75" customHeight="1">
      <c r="A57" s="257">
        <f>'Danh muc'!A57</f>
        <v>50</v>
      </c>
      <c r="B57" s="258">
        <f>'Danh muc'!B57</f>
        <v>22040500</v>
      </c>
      <c r="C57" s="259" t="str">
        <f>'Danh muc'!C57</f>
        <v>Nguyễn Thị Ngọc Linh</v>
      </c>
      <c r="D57" s="258" t="str">
        <f>'Danh muc'!E57</f>
        <v>Ngoại Quan</v>
      </c>
      <c r="E57" s="202">
        <f t="shared" si="0"/>
        <v>0</v>
      </c>
      <c r="F57" s="202">
        <f t="shared" si="1"/>
        <v>0</v>
      </c>
      <c r="G57" s="202">
        <f t="shared" si="2"/>
        <v>0</v>
      </c>
      <c r="H57" s="203">
        <f t="shared" si="8"/>
        <v>0</v>
      </c>
      <c r="I57" s="204">
        <f t="shared" si="9"/>
        <v>0</v>
      </c>
      <c r="J57" s="203">
        <f t="shared" si="10"/>
        <v>0</v>
      </c>
      <c r="K57" s="205">
        <f t="shared" si="5"/>
        <v>0</v>
      </c>
      <c r="L57" s="206">
        <f t="shared" si="6"/>
        <v>0</v>
      </c>
      <c r="M57" s="207">
        <f t="shared" si="7"/>
        <v>0</v>
      </c>
      <c r="N57" s="336"/>
      <c r="O57" s="336"/>
      <c r="P57" s="337"/>
      <c r="Q57" s="338"/>
      <c r="R57" s="338"/>
      <c r="S57" s="339"/>
      <c r="T57" s="336"/>
      <c r="U57" s="336"/>
      <c r="V57" s="337"/>
      <c r="W57" s="338"/>
      <c r="X57" s="338"/>
      <c r="Y57" s="339"/>
      <c r="Z57" s="336"/>
      <c r="AA57" s="336"/>
      <c r="AB57" s="337"/>
      <c r="AC57" s="338"/>
      <c r="AD57" s="338"/>
      <c r="AE57" s="339"/>
      <c r="AF57" s="336"/>
      <c r="AG57" s="336"/>
      <c r="AH57" s="337"/>
      <c r="AI57" s="338"/>
      <c r="AJ57" s="338"/>
      <c r="AK57" s="339"/>
      <c r="AL57" s="336"/>
      <c r="AM57" s="336"/>
      <c r="AN57" s="337"/>
      <c r="AO57" s="338"/>
      <c r="AP57" s="338"/>
      <c r="AQ57" s="339"/>
      <c r="AR57" s="336"/>
      <c r="AS57" s="336"/>
      <c r="AT57" s="337"/>
      <c r="AU57" s="338"/>
      <c r="AV57" s="338"/>
      <c r="AW57" s="339"/>
      <c r="AX57" s="336"/>
      <c r="AY57" s="336"/>
      <c r="AZ57" s="337"/>
      <c r="BA57" s="338"/>
      <c r="BB57" s="338"/>
      <c r="BC57" s="339"/>
      <c r="BD57" s="336"/>
      <c r="BE57" s="336"/>
      <c r="BF57" s="337"/>
      <c r="BG57" s="338"/>
      <c r="BH57" s="338"/>
      <c r="BI57" s="339"/>
      <c r="BJ57" s="336"/>
      <c r="BK57" s="336"/>
      <c r="BL57" s="337"/>
      <c r="BM57" s="338"/>
      <c r="BN57" s="338"/>
      <c r="BO57" s="339"/>
      <c r="BP57" s="336"/>
      <c r="BQ57" s="336"/>
      <c r="BR57" s="337"/>
      <c r="BS57" s="338"/>
      <c r="BT57" s="338"/>
      <c r="BU57" s="339"/>
      <c r="BV57" s="336"/>
      <c r="BW57" s="336"/>
      <c r="BX57" s="337"/>
      <c r="BY57" s="338"/>
      <c r="BZ57" s="338"/>
      <c r="CA57" s="339"/>
      <c r="CB57" s="336"/>
      <c r="CC57" s="336"/>
      <c r="CD57" s="337"/>
      <c r="CE57" s="338"/>
      <c r="CF57" s="338"/>
      <c r="CG57" s="339"/>
      <c r="CH57" s="336"/>
      <c r="CI57" s="336"/>
      <c r="CJ57" s="337"/>
      <c r="CK57" s="338"/>
      <c r="CL57" s="338"/>
      <c r="CM57" s="339"/>
      <c r="CN57" s="336"/>
      <c r="CO57" s="336"/>
      <c r="CP57" s="337"/>
      <c r="CQ57" s="338"/>
      <c r="CR57" s="338"/>
      <c r="CS57" s="339"/>
      <c r="CT57" s="323"/>
      <c r="CU57" s="323"/>
      <c r="CV57" s="324"/>
      <c r="CW57" s="325"/>
      <c r="CX57" s="325"/>
      <c r="CY57" s="326"/>
      <c r="CZ57" s="323"/>
      <c r="DA57" s="323"/>
      <c r="DB57" s="324"/>
      <c r="DC57" s="169"/>
      <c r="DD57" s="169">
        <v>1</v>
      </c>
      <c r="DE57" s="170"/>
      <c r="DF57" s="171"/>
      <c r="DG57" s="170"/>
      <c r="DH57" s="170"/>
    </row>
    <row r="58" spans="1:112" ht="24.75" customHeight="1">
      <c r="A58" s="257">
        <f>'Danh muc'!A58</f>
        <v>51</v>
      </c>
      <c r="B58" s="258">
        <f>'Danh muc'!B58</f>
        <v>23062300</v>
      </c>
      <c r="C58" s="259" t="str">
        <f>'Danh muc'!C58</f>
        <v>Huỳnh Thị Mỹ Nhiên</v>
      </c>
      <c r="D58" s="258" t="str">
        <f>'Danh muc'!E58</f>
        <v>Ngoại Quan</v>
      </c>
      <c r="E58" s="202">
        <f t="shared" si="0"/>
        <v>0</v>
      </c>
      <c r="F58" s="202">
        <f t="shared" si="1"/>
        <v>0</v>
      </c>
      <c r="G58" s="202">
        <f t="shared" si="2"/>
        <v>0</v>
      </c>
      <c r="H58" s="203">
        <f t="shared" si="8"/>
        <v>0</v>
      </c>
      <c r="I58" s="204">
        <f t="shared" si="9"/>
        <v>0</v>
      </c>
      <c r="J58" s="203">
        <f t="shared" si="10"/>
        <v>0</v>
      </c>
      <c r="K58" s="205">
        <f t="shared" si="5"/>
        <v>0</v>
      </c>
      <c r="L58" s="206">
        <f t="shared" si="6"/>
        <v>0</v>
      </c>
      <c r="M58" s="207">
        <f t="shared" si="7"/>
        <v>0</v>
      </c>
      <c r="N58" s="336"/>
      <c r="O58" s="336"/>
      <c r="P58" s="337"/>
      <c r="Q58" s="338"/>
      <c r="R58" s="338"/>
      <c r="S58" s="339"/>
      <c r="T58" s="336"/>
      <c r="U58" s="336"/>
      <c r="V58" s="337"/>
      <c r="W58" s="338"/>
      <c r="X58" s="338"/>
      <c r="Y58" s="339"/>
      <c r="Z58" s="336"/>
      <c r="AA58" s="336"/>
      <c r="AB58" s="337"/>
      <c r="AC58" s="338"/>
      <c r="AD58" s="338"/>
      <c r="AE58" s="339"/>
      <c r="AF58" s="336"/>
      <c r="AG58" s="336"/>
      <c r="AH58" s="337"/>
      <c r="AI58" s="338"/>
      <c r="AJ58" s="338"/>
      <c r="AK58" s="339"/>
      <c r="AL58" s="336"/>
      <c r="AM58" s="336"/>
      <c r="AN58" s="337"/>
      <c r="AO58" s="338"/>
      <c r="AP58" s="338"/>
      <c r="AQ58" s="339"/>
      <c r="AR58" s="336"/>
      <c r="AS58" s="336"/>
      <c r="AT58" s="337"/>
      <c r="AU58" s="338"/>
      <c r="AV58" s="338"/>
      <c r="AW58" s="339"/>
      <c r="AX58" s="336"/>
      <c r="AY58" s="336"/>
      <c r="AZ58" s="337"/>
      <c r="BA58" s="338"/>
      <c r="BB58" s="338"/>
      <c r="BC58" s="339"/>
      <c r="BD58" s="336"/>
      <c r="BE58" s="336"/>
      <c r="BF58" s="337"/>
      <c r="BG58" s="338"/>
      <c r="BH58" s="338"/>
      <c r="BI58" s="339"/>
      <c r="BJ58" s="336"/>
      <c r="BK58" s="336"/>
      <c r="BL58" s="337"/>
      <c r="BM58" s="338"/>
      <c r="BN58" s="338"/>
      <c r="BO58" s="339"/>
      <c r="BP58" s="336"/>
      <c r="BQ58" s="336"/>
      <c r="BR58" s="337"/>
      <c r="BS58" s="338"/>
      <c r="BT58" s="338"/>
      <c r="BU58" s="339"/>
      <c r="BV58" s="336"/>
      <c r="BW58" s="336"/>
      <c r="BX58" s="337"/>
      <c r="BY58" s="338"/>
      <c r="BZ58" s="338"/>
      <c r="CA58" s="339"/>
      <c r="CB58" s="336"/>
      <c r="CC58" s="336"/>
      <c r="CD58" s="337"/>
      <c r="CE58" s="338"/>
      <c r="CF58" s="338"/>
      <c r="CG58" s="339"/>
      <c r="CH58" s="336"/>
      <c r="CI58" s="336"/>
      <c r="CJ58" s="337"/>
      <c r="CK58" s="338"/>
      <c r="CL58" s="338"/>
      <c r="CM58" s="339"/>
      <c r="CN58" s="336"/>
      <c r="CO58" s="336"/>
      <c r="CP58" s="337"/>
      <c r="CQ58" s="338"/>
      <c r="CR58" s="338"/>
      <c r="CS58" s="339"/>
      <c r="CT58" s="323"/>
      <c r="CU58" s="323"/>
      <c r="CV58" s="324"/>
      <c r="CW58" s="325"/>
      <c r="CX58" s="325"/>
      <c r="CY58" s="326"/>
      <c r="CZ58" s="323"/>
      <c r="DA58" s="323"/>
      <c r="DB58" s="324"/>
      <c r="DC58" s="169"/>
      <c r="DD58" s="169">
        <v>1</v>
      </c>
      <c r="DE58" s="170"/>
      <c r="DF58" s="171"/>
      <c r="DG58" s="170"/>
      <c r="DH58" s="170"/>
    </row>
    <row r="59" spans="1:112" ht="24.75" customHeight="1">
      <c r="A59" s="257">
        <f>'Danh muc'!A59</f>
        <v>52</v>
      </c>
      <c r="B59" s="258">
        <f>'Danh muc'!B59</f>
        <v>25061800</v>
      </c>
      <c r="C59" s="259" t="str">
        <f>'Danh muc'!C59</f>
        <v>Nguyễn Huỳnh Minh Phát</v>
      </c>
      <c r="D59" s="258" t="str">
        <f>'Danh muc'!E59</f>
        <v>Sản xuất</v>
      </c>
      <c r="E59" s="202">
        <f t="shared" si="0"/>
        <v>0</v>
      </c>
      <c r="F59" s="202">
        <f t="shared" si="1"/>
        <v>0</v>
      </c>
      <c r="G59" s="202">
        <f t="shared" si="2"/>
        <v>0</v>
      </c>
      <c r="H59" s="203">
        <f t="shared" si="8"/>
        <v>0</v>
      </c>
      <c r="I59" s="204">
        <f t="shared" si="9"/>
        <v>0</v>
      </c>
      <c r="J59" s="203">
        <f t="shared" si="10"/>
        <v>0</v>
      </c>
      <c r="K59" s="205">
        <v>25</v>
      </c>
      <c r="L59" s="206">
        <f t="shared" si="6"/>
        <v>0</v>
      </c>
      <c r="M59" s="207">
        <f>K59</f>
        <v>25</v>
      </c>
      <c r="N59" s="310"/>
      <c r="O59" s="310"/>
      <c r="P59" s="311"/>
      <c r="Q59" s="312"/>
      <c r="R59" s="312"/>
      <c r="S59" s="313"/>
      <c r="T59" s="310"/>
      <c r="U59" s="310"/>
      <c r="V59" s="311"/>
      <c r="W59" s="312"/>
      <c r="X59" s="312"/>
      <c r="Y59" s="313"/>
      <c r="Z59" s="310"/>
      <c r="AA59" s="310"/>
      <c r="AB59" s="311"/>
      <c r="AC59" s="312"/>
      <c r="AD59" s="312"/>
      <c r="AE59" s="313"/>
      <c r="AF59" s="310"/>
      <c r="AG59" s="310"/>
      <c r="AH59" s="311"/>
      <c r="AI59" s="312"/>
      <c r="AJ59" s="312"/>
      <c r="AK59" s="313"/>
      <c r="AL59" s="310"/>
      <c r="AM59" s="310"/>
      <c r="AN59" s="311"/>
      <c r="AO59" s="312"/>
      <c r="AP59" s="312"/>
      <c r="AQ59" s="313"/>
      <c r="AR59" s="310"/>
      <c r="AS59" s="310"/>
      <c r="AT59" s="311"/>
      <c r="AU59" s="312"/>
      <c r="AV59" s="312"/>
      <c r="AW59" s="313"/>
      <c r="AX59" s="310"/>
      <c r="AY59" s="310"/>
      <c r="AZ59" s="311"/>
      <c r="BA59" s="312"/>
      <c r="BB59" s="312"/>
      <c r="BC59" s="313"/>
      <c r="BD59" s="310"/>
      <c r="BE59" s="310"/>
      <c r="BF59" s="311"/>
      <c r="BG59" s="312"/>
      <c r="BH59" s="312"/>
      <c r="BI59" s="313"/>
      <c r="BJ59" s="310"/>
      <c r="BK59" s="310"/>
      <c r="BL59" s="311"/>
      <c r="BM59" s="312"/>
      <c r="BN59" s="312"/>
      <c r="BO59" s="313"/>
      <c r="BP59" s="310"/>
      <c r="BQ59" s="310"/>
      <c r="BR59" s="311"/>
      <c r="BS59" s="312"/>
      <c r="BT59" s="312"/>
      <c r="BU59" s="313"/>
      <c r="BV59" s="310"/>
      <c r="BW59" s="310"/>
      <c r="BX59" s="311"/>
      <c r="BY59" s="312"/>
      <c r="BZ59" s="312"/>
      <c r="CA59" s="313"/>
      <c r="CB59" s="310"/>
      <c r="CC59" s="310"/>
      <c r="CD59" s="311"/>
      <c r="CE59" s="312"/>
      <c r="CF59" s="312"/>
      <c r="CG59" s="313"/>
      <c r="CH59" s="310"/>
      <c r="CI59" s="310"/>
      <c r="CJ59" s="311"/>
      <c r="CK59" s="312"/>
      <c r="CL59" s="312"/>
      <c r="CM59" s="313"/>
      <c r="CN59" s="310"/>
      <c r="CO59" s="310"/>
      <c r="CP59" s="311"/>
      <c r="CQ59" s="312"/>
      <c r="CR59" s="312"/>
      <c r="CS59" s="313"/>
      <c r="CT59" s="310"/>
      <c r="CU59" s="310"/>
      <c r="CV59" s="311"/>
      <c r="CW59" s="312"/>
      <c r="CX59" s="312"/>
      <c r="CY59" s="313"/>
      <c r="CZ59" s="310"/>
      <c r="DA59" s="310"/>
      <c r="DB59" s="311"/>
      <c r="DC59" s="169"/>
      <c r="DD59" s="174">
        <v>1</v>
      </c>
      <c r="DE59" s="170"/>
      <c r="DF59" s="171"/>
      <c r="DG59" s="170"/>
      <c r="DH59" s="170"/>
    </row>
    <row r="60" spans="1:112" ht="24.75" customHeight="1">
      <c r="A60" s="257">
        <f>'Danh muc'!A60</f>
        <v>53</v>
      </c>
      <c r="B60" s="258">
        <f>'Danh muc'!B60</f>
        <v>25031700</v>
      </c>
      <c r="C60" s="259" t="str">
        <f>'Danh muc'!C60</f>
        <v>Nguyễn Thị Bích Ngọc</v>
      </c>
      <c r="D60" s="258" t="str">
        <f>'Danh muc'!E60</f>
        <v>Sản xuất</v>
      </c>
      <c r="E60" s="202">
        <f t="shared" si="0"/>
        <v>0</v>
      </c>
      <c r="F60" s="202">
        <f t="shared" si="1"/>
        <v>0</v>
      </c>
      <c r="G60" s="202">
        <f t="shared" si="2"/>
        <v>0</v>
      </c>
      <c r="H60" s="203">
        <f t="shared" si="8"/>
        <v>0</v>
      </c>
      <c r="I60" s="204">
        <f t="shared" si="9"/>
        <v>0</v>
      </c>
      <c r="J60" s="203">
        <f t="shared" si="10"/>
        <v>0</v>
      </c>
      <c r="K60" s="205">
        <f t="shared" si="5"/>
        <v>0</v>
      </c>
      <c r="L60" s="206">
        <f t="shared" si="6"/>
        <v>0</v>
      </c>
      <c r="M60" s="207">
        <f t="shared" si="7"/>
        <v>0</v>
      </c>
      <c r="N60" s="336"/>
      <c r="O60" s="336"/>
      <c r="P60" s="337"/>
      <c r="Q60" s="338"/>
      <c r="R60" s="338"/>
      <c r="S60" s="339"/>
      <c r="T60" s="336"/>
      <c r="U60" s="336"/>
      <c r="V60" s="337"/>
      <c r="W60" s="338"/>
      <c r="X60" s="338"/>
      <c r="Y60" s="339"/>
      <c r="Z60" s="336"/>
      <c r="AA60" s="336"/>
      <c r="AB60" s="337"/>
      <c r="AC60" s="338"/>
      <c r="AD60" s="338"/>
      <c r="AE60" s="339"/>
      <c r="AF60" s="336"/>
      <c r="AG60" s="336"/>
      <c r="AH60" s="337"/>
      <c r="AI60" s="338"/>
      <c r="AJ60" s="338"/>
      <c r="AK60" s="339"/>
      <c r="AL60" s="336"/>
      <c r="AM60" s="336"/>
      <c r="AN60" s="337"/>
      <c r="AO60" s="338"/>
      <c r="AP60" s="338"/>
      <c r="AQ60" s="339"/>
      <c r="AR60" s="336"/>
      <c r="AS60" s="336"/>
      <c r="AT60" s="337"/>
      <c r="AU60" s="338"/>
      <c r="AV60" s="338"/>
      <c r="AW60" s="339"/>
      <c r="AX60" s="336"/>
      <c r="AY60" s="336"/>
      <c r="AZ60" s="337"/>
      <c r="BA60" s="338"/>
      <c r="BB60" s="338"/>
      <c r="BC60" s="339"/>
      <c r="BD60" s="336"/>
      <c r="BE60" s="336"/>
      <c r="BF60" s="337"/>
      <c r="BG60" s="338"/>
      <c r="BH60" s="338"/>
      <c r="BI60" s="339"/>
      <c r="BJ60" s="336"/>
      <c r="BK60" s="336"/>
      <c r="BL60" s="337"/>
      <c r="BM60" s="338"/>
      <c r="BN60" s="338"/>
      <c r="BO60" s="339"/>
      <c r="BP60" s="336"/>
      <c r="BQ60" s="336"/>
      <c r="BR60" s="337"/>
      <c r="BS60" s="338"/>
      <c r="BT60" s="338"/>
      <c r="BU60" s="339"/>
      <c r="BV60" s="336"/>
      <c r="BW60" s="336"/>
      <c r="BX60" s="337"/>
      <c r="BY60" s="338"/>
      <c r="BZ60" s="338"/>
      <c r="CA60" s="339"/>
      <c r="CB60" s="336"/>
      <c r="CC60" s="336"/>
      <c r="CD60" s="337"/>
      <c r="CE60" s="338"/>
      <c r="CF60" s="338"/>
      <c r="CG60" s="339"/>
      <c r="CH60" s="336"/>
      <c r="CI60" s="336"/>
      <c r="CJ60" s="337"/>
      <c r="CK60" s="338"/>
      <c r="CL60" s="338"/>
      <c r="CM60" s="339"/>
      <c r="CN60" s="336"/>
      <c r="CO60" s="336"/>
      <c r="CP60" s="337"/>
      <c r="CQ60" s="338"/>
      <c r="CR60" s="338"/>
      <c r="CS60" s="339"/>
      <c r="CT60" s="323"/>
      <c r="CU60" s="323"/>
      <c r="CV60" s="324"/>
      <c r="CW60" s="325"/>
      <c r="CX60" s="325"/>
      <c r="CY60" s="326"/>
      <c r="CZ60" s="323"/>
      <c r="DA60" s="323"/>
      <c r="DB60" s="324"/>
      <c r="DC60" s="169"/>
      <c r="DD60" s="174">
        <v>1</v>
      </c>
      <c r="DE60" s="170"/>
      <c r="DF60" s="171"/>
      <c r="DG60" s="170"/>
      <c r="DH60" s="170"/>
    </row>
    <row r="61" spans="1:112" ht="24.75" customHeight="1">
      <c r="A61" s="257">
        <f>'Danh muc'!A61</f>
        <v>54</v>
      </c>
      <c r="B61" s="258">
        <f>'Danh muc'!B61</f>
        <v>25060200</v>
      </c>
      <c r="C61" s="259" t="str">
        <f>'Danh muc'!C61</f>
        <v>Nguyễn Thị Thúy Ngọc</v>
      </c>
      <c r="D61" s="258" t="str">
        <f>'Danh muc'!E61</f>
        <v>Ngoại Quan</v>
      </c>
      <c r="E61" s="202">
        <f>8*K61</f>
        <v>0</v>
      </c>
      <c r="F61" s="202">
        <f t="shared" si="1"/>
        <v>0</v>
      </c>
      <c r="G61" s="202">
        <f t="shared" si="2"/>
        <v>0</v>
      </c>
      <c r="H61" s="203">
        <f t="shared" si="8"/>
        <v>0</v>
      </c>
      <c r="I61" s="204">
        <f t="shared" si="9"/>
        <v>0</v>
      </c>
      <c r="J61" s="203">
        <f t="shared" si="10"/>
        <v>0</v>
      </c>
      <c r="K61" s="205">
        <f t="shared" si="5"/>
        <v>0</v>
      </c>
      <c r="L61" s="206">
        <f t="shared" si="6"/>
        <v>0</v>
      </c>
      <c r="M61" s="207">
        <f t="shared" si="7"/>
        <v>0</v>
      </c>
      <c r="N61" s="336"/>
      <c r="O61" s="336"/>
      <c r="P61" s="337"/>
      <c r="Q61" s="338"/>
      <c r="R61" s="338"/>
      <c r="S61" s="339"/>
      <c r="T61" s="336"/>
      <c r="U61" s="336"/>
      <c r="V61" s="337"/>
      <c r="W61" s="338"/>
      <c r="X61" s="338"/>
      <c r="Y61" s="339"/>
      <c r="Z61" s="336"/>
      <c r="AA61" s="336"/>
      <c r="AB61" s="337"/>
      <c r="AC61" s="338"/>
      <c r="AD61" s="338"/>
      <c r="AE61" s="339"/>
      <c r="AF61" s="336"/>
      <c r="AG61" s="336"/>
      <c r="AH61" s="337"/>
      <c r="AI61" s="338"/>
      <c r="AJ61" s="338"/>
      <c r="AK61" s="339"/>
      <c r="AL61" s="336"/>
      <c r="AM61" s="336"/>
      <c r="AN61" s="337"/>
      <c r="AO61" s="338"/>
      <c r="AP61" s="338"/>
      <c r="AQ61" s="339"/>
      <c r="AR61" s="336"/>
      <c r="AS61" s="336"/>
      <c r="AT61" s="337"/>
      <c r="AU61" s="338"/>
      <c r="AV61" s="338"/>
      <c r="AW61" s="339"/>
      <c r="AX61" s="336"/>
      <c r="AY61" s="336"/>
      <c r="AZ61" s="337"/>
      <c r="BA61" s="338"/>
      <c r="BB61" s="338"/>
      <c r="BC61" s="339"/>
      <c r="BD61" s="336"/>
      <c r="BE61" s="336"/>
      <c r="BF61" s="337"/>
      <c r="BG61" s="338"/>
      <c r="BH61" s="338"/>
      <c r="BI61" s="339"/>
      <c r="BJ61" s="336"/>
      <c r="BK61" s="336"/>
      <c r="BL61" s="337"/>
      <c r="BM61" s="338"/>
      <c r="BN61" s="338"/>
      <c r="BO61" s="339"/>
      <c r="BP61" s="336"/>
      <c r="BQ61" s="336"/>
      <c r="BR61" s="337"/>
      <c r="BS61" s="338"/>
      <c r="BT61" s="338"/>
      <c r="BU61" s="339"/>
      <c r="BV61" s="336"/>
      <c r="BW61" s="336"/>
      <c r="BX61" s="337"/>
      <c r="BY61" s="338"/>
      <c r="BZ61" s="338"/>
      <c r="CA61" s="339"/>
      <c r="CB61" s="336"/>
      <c r="CC61" s="336"/>
      <c r="CD61" s="337"/>
      <c r="CE61" s="338"/>
      <c r="CF61" s="338"/>
      <c r="CG61" s="339"/>
      <c r="CH61" s="336"/>
      <c r="CI61" s="336"/>
      <c r="CJ61" s="337"/>
      <c r="CK61" s="338"/>
      <c r="CL61" s="338"/>
      <c r="CM61" s="339"/>
      <c r="CN61" s="336"/>
      <c r="CO61" s="336"/>
      <c r="CP61" s="337"/>
      <c r="CQ61" s="338"/>
      <c r="CR61" s="338"/>
      <c r="CS61" s="339"/>
      <c r="CT61" s="323"/>
      <c r="CU61" s="323"/>
      <c r="CV61" s="324"/>
      <c r="CW61" s="325"/>
      <c r="CX61" s="325"/>
      <c r="CY61" s="326"/>
      <c r="CZ61" s="323"/>
      <c r="DA61" s="323"/>
      <c r="DB61" s="324"/>
      <c r="DC61" s="169"/>
      <c r="DD61" s="174">
        <v>1</v>
      </c>
      <c r="DE61" s="170"/>
      <c r="DF61" s="171"/>
      <c r="DG61" s="170"/>
      <c r="DH61" s="170"/>
    </row>
    <row r="62" spans="1:112" ht="24.75" customHeight="1">
      <c r="A62" s="257">
        <f>'Danh muc'!A62</f>
        <v>0</v>
      </c>
      <c r="B62" s="258">
        <f>'Danh muc'!B62</f>
        <v>0</v>
      </c>
      <c r="C62" s="259">
        <f>'Danh muc'!C62</f>
        <v>0</v>
      </c>
      <c r="D62" s="258">
        <f>'Danh muc'!E62</f>
        <v>0</v>
      </c>
      <c r="E62" s="202">
        <f t="shared" si="0"/>
        <v>0</v>
      </c>
      <c r="F62" s="202">
        <f t="shared" si="1"/>
        <v>0</v>
      </c>
      <c r="G62" s="202">
        <f t="shared" si="2"/>
        <v>0</v>
      </c>
      <c r="H62" s="203">
        <f t="shared" si="8"/>
        <v>0</v>
      </c>
      <c r="I62" s="204">
        <f t="shared" si="9"/>
        <v>0</v>
      </c>
      <c r="J62" s="203">
        <f t="shared" si="10"/>
        <v>0</v>
      </c>
      <c r="K62" s="205">
        <f t="shared" si="5"/>
        <v>0</v>
      </c>
      <c r="L62" s="206">
        <f t="shared" si="6"/>
        <v>0</v>
      </c>
      <c r="M62" s="207">
        <f t="shared" si="7"/>
        <v>0</v>
      </c>
      <c r="N62" s="336"/>
      <c r="O62" s="336"/>
      <c r="P62" s="337"/>
      <c r="Q62" s="338"/>
      <c r="R62" s="338"/>
      <c r="S62" s="339"/>
      <c r="T62" s="336"/>
      <c r="U62" s="336"/>
      <c r="V62" s="337"/>
      <c r="W62" s="338"/>
      <c r="X62" s="338"/>
      <c r="Y62" s="339"/>
      <c r="Z62" s="336"/>
      <c r="AA62" s="336"/>
      <c r="AB62" s="337"/>
      <c r="AC62" s="338"/>
      <c r="AD62" s="338"/>
      <c r="AE62" s="339"/>
      <c r="AF62" s="336"/>
      <c r="AG62" s="336"/>
      <c r="AH62" s="337"/>
      <c r="AI62" s="338"/>
      <c r="AJ62" s="338"/>
      <c r="AK62" s="339"/>
      <c r="AL62" s="336"/>
      <c r="AM62" s="336"/>
      <c r="AN62" s="337"/>
      <c r="AO62" s="338"/>
      <c r="AP62" s="338"/>
      <c r="AQ62" s="339"/>
      <c r="AR62" s="336"/>
      <c r="AS62" s="336"/>
      <c r="AT62" s="337"/>
      <c r="AU62" s="338"/>
      <c r="AV62" s="338"/>
      <c r="AW62" s="339"/>
      <c r="AX62" s="336"/>
      <c r="AY62" s="336"/>
      <c r="AZ62" s="337"/>
      <c r="BA62" s="338"/>
      <c r="BB62" s="338"/>
      <c r="BC62" s="339"/>
      <c r="BD62" s="336"/>
      <c r="BE62" s="336"/>
      <c r="BF62" s="337"/>
      <c r="BG62" s="338"/>
      <c r="BH62" s="338"/>
      <c r="BI62" s="339"/>
      <c r="BJ62" s="336"/>
      <c r="BK62" s="336"/>
      <c r="BL62" s="337"/>
      <c r="BM62" s="338"/>
      <c r="BN62" s="338"/>
      <c r="BO62" s="339"/>
      <c r="BP62" s="336"/>
      <c r="BQ62" s="336"/>
      <c r="BR62" s="337"/>
      <c r="BS62" s="338"/>
      <c r="BT62" s="338"/>
      <c r="BU62" s="339"/>
      <c r="BV62" s="336"/>
      <c r="BW62" s="336"/>
      <c r="BX62" s="337"/>
      <c r="BY62" s="338"/>
      <c r="BZ62" s="338"/>
      <c r="CA62" s="339"/>
      <c r="CB62" s="336"/>
      <c r="CC62" s="336"/>
      <c r="CD62" s="337"/>
      <c r="CE62" s="338"/>
      <c r="CF62" s="338"/>
      <c r="CG62" s="339"/>
      <c r="CH62" s="336"/>
      <c r="CI62" s="336"/>
      <c r="CJ62" s="337"/>
      <c r="CK62" s="338"/>
      <c r="CL62" s="338"/>
      <c r="CM62" s="339"/>
      <c r="CN62" s="336"/>
      <c r="CO62" s="336"/>
      <c r="CP62" s="337"/>
      <c r="CQ62" s="338"/>
      <c r="CR62" s="338"/>
      <c r="CS62" s="339"/>
      <c r="CT62" s="323"/>
      <c r="CU62" s="323"/>
      <c r="CV62" s="324"/>
      <c r="CW62" s="325"/>
      <c r="CX62" s="325"/>
      <c r="CY62" s="326"/>
      <c r="CZ62" s="323"/>
      <c r="DA62" s="323"/>
      <c r="DB62" s="324"/>
      <c r="DC62" s="169"/>
      <c r="DD62" s="174"/>
      <c r="DE62" s="170"/>
      <c r="DF62" s="171"/>
      <c r="DG62" s="170"/>
      <c r="DH62" s="170"/>
    </row>
    <row r="63" spans="1:112" ht="24.75" customHeight="1">
      <c r="A63" s="257">
        <f>'Danh muc'!A63</f>
        <v>0</v>
      </c>
      <c r="B63" s="258">
        <f>'Danh muc'!B63</f>
        <v>0</v>
      </c>
      <c r="C63" s="259">
        <f>'Danh muc'!C63</f>
        <v>0</v>
      </c>
      <c r="D63" s="258">
        <f>'Danh muc'!E63</f>
        <v>0</v>
      </c>
      <c r="E63" s="202">
        <f t="shared" si="0"/>
        <v>0</v>
      </c>
      <c r="F63" s="202">
        <f t="shared" si="1"/>
        <v>0</v>
      </c>
      <c r="G63" s="202">
        <f t="shared" si="2"/>
        <v>0</v>
      </c>
      <c r="H63" s="203">
        <f t="shared" ref="H63:H99" si="11">IF(N63&lt;=1,N63,0)+IF(Q63&lt;=1,Q63,0)+IF(T63&lt;=1,T63,0)+IF(W63&lt;=1,W63,0)+IF(Z63&lt;=1,Z63,0)+IF(AC63&lt;=1,AC63,0)+IF(AF63&lt;=1,AF63,0)+IF(AI63&lt;=1,AI63,0)+IF(AL63&lt;=1,AL63,0)+IF(AO63&lt;=1,AO63,0)+IF(AR63&lt;=1,AR63,0)+IF(AU63&lt;=1,AU63,0)+IF(AX63&lt;=1,AX63,0)+IF(BA63&lt;=1,BA63,0)+IF(BD63&lt;=1,BD63,0)+IF(BG63&lt;=1,BG63,0)+IF(BJ63&lt;=1,BJ63,0)+IF(BM63&lt;=1,BM63,0)+IF(BP63&lt;=1,BP63,0)+IF(BS63&lt;=1,BS63,0)+IF(BV63&lt;=1,BV63,0)+IF(BY63&lt;=1,BY63,0)+IF(CB63&lt;=1,CB63,0)+IF(CE63&lt;=1,CE63,0)+IF(CH63&lt;=1,CH63,0)+IF(CK63&lt;=1,CK63,0)+IF(CN63&lt;=1,CN63,0)+IF(CQ63&lt;=1,CQ63,0)+IF(CT63&lt;=1,CT63,0)+IF(CW63&lt;=1,CW63,0)+IF(CZ63&lt;=1,CZ63,0)</f>
        <v>0</v>
      </c>
      <c r="I63" s="204">
        <f t="shared" ref="I63:I99" si="12">IF(O63&lt;=1,O63,0)+IF(R63&lt;=1,R63,0)+IF(U63&lt;=1,U63,0)+IF(X63&lt;=1,X63,0)+IF(AA63&lt;=1,AA63,0)+IF(AD63&lt;=1,AD63,0)+IF(AG63&lt;=1,AG63,0)+IF(AJ63&lt;=1,AJ63,0)+IF(AM63&lt;=1,AM63,0)+IF(AP63&lt;=1,AP63,0)+IF(AS63&lt;=1,AS63,0)+IF(AV63&lt;=1,AV63,0)+IF(AY63&lt;=1,AY63,0)+IF(BB63&lt;=1,BB63,0)+IF(BE63&lt;=1,BE63,0)+IF(BH63&lt;=1,BH63,0)+IF(BK63&lt;=1,BK63,0)+IF(BN63&lt;=1,BN63,0)+IF(BQ63&lt;=1,BQ63,0)+IF(BT63&lt;=1,BT63,0)+IF(BW63&lt;=1,BW63,0)+IF(BZ63&lt;=1,BZ63,0)+IF(CC63&lt;=1,CC63,0)+IF(CF63&lt;=1,CF63,0)+IF(CI63&lt;=1,CI63,0)+IF(CL63&lt;=1,CL63,0)+IF(CO63&lt;=1,CO63,0)+IF(CR63&lt;=1,CR63,0)+IF(CU63&lt;=1,CU63,0)+IF(CX63&lt;=1,CX63,0)+IF(DA63&lt;=1,DA63,0)</f>
        <v>0</v>
      </c>
      <c r="J63" s="203">
        <f t="shared" ref="J63:J99" si="13">IF(N63=1,P63,0)+IF(Q63=1,S63,0)+IF(T63=1,V63,0)+IF(W63=1,Y63,0)+IF(Z63=1,AB63,0)+IF(AC63=1,AE63,0)+IF(AF63=1,AH63,0)+IF(AI63=1,AK63,0)+IF(AL63=1,AN63,0)+IF(AO63=1,AQ63,0)+IF(AR63=1,AT63,0)+IF(AU63=1,AW63,0)+IF(AX63=1,AZ63,0)+IF(BA63=1,BC63,0)+IF(BD63=1,BF63,0)+IF(BG63=1,BI63,0)+IF(BJ63=1,BL63,0)+IF(BM63=1,BO63,0)+IF(BP63=1,BR63,0)+IF(BS63=1,BU63,0)+IF(BV63=1,BX63,0)+IF(BY63=1,CA63,0)+IF(CB63=1,CD63,0)+IF(CE63=1,CG63,0)+IF(CH63=1,CJ63,0)+IF(CK63=1,CM63,0)+IF(CN63=1,CP63,0)+IF(CQ63=1,CS63,0)+IF(CT63=1,CV63,0)+IF(CW63=1,CY63,0)+IF(CZ63=1,DB63,0)</f>
        <v>0</v>
      </c>
      <c r="K63" s="205">
        <f t="shared" si="5"/>
        <v>0</v>
      </c>
      <c r="L63" s="206">
        <f t="shared" si="6"/>
        <v>0</v>
      </c>
      <c r="M63" s="207">
        <f t="shared" si="7"/>
        <v>0</v>
      </c>
      <c r="N63" s="336"/>
      <c r="O63" s="336"/>
      <c r="P63" s="337"/>
      <c r="Q63" s="338"/>
      <c r="R63" s="338"/>
      <c r="S63" s="339"/>
      <c r="T63" s="336"/>
      <c r="U63" s="336"/>
      <c r="V63" s="337"/>
      <c r="W63" s="338"/>
      <c r="X63" s="338"/>
      <c r="Y63" s="339"/>
      <c r="Z63" s="336"/>
      <c r="AA63" s="336"/>
      <c r="AB63" s="337"/>
      <c r="AC63" s="338"/>
      <c r="AD63" s="338"/>
      <c r="AE63" s="339"/>
      <c r="AF63" s="336"/>
      <c r="AG63" s="336"/>
      <c r="AH63" s="337"/>
      <c r="AI63" s="338"/>
      <c r="AJ63" s="338"/>
      <c r="AK63" s="339"/>
      <c r="AL63" s="336"/>
      <c r="AM63" s="336"/>
      <c r="AN63" s="337"/>
      <c r="AO63" s="338"/>
      <c r="AP63" s="338"/>
      <c r="AQ63" s="339"/>
      <c r="AR63" s="336"/>
      <c r="AS63" s="336"/>
      <c r="AT63" s="337"/>
      <c r="AU63" s="338"/>
      <c r="AV63" s="338"/>
      <c r="AW63" s="339"/>
      <c r="AX63" s="336"/>
      <c r="AY63" s="336"/>
      <c r="AZ63" s="337"/>
      <c r="BA63" s="338"/>
      <c r="BB63" s="338"/>
      <c r="BC63" s="339"/>
      <c r="BD63" s="336"/>
      <c r="BE63" s="336"/>
      <c r="BF63" s="337"/>
      <c r="BG63" s="338"/>
      <c r="BH63" s="338"/>
      <c r="BI63" s="339"/>
      <c r="BJ63" s="336"/>
      <c r="BK63" s="336"/>
      <c r="BL63" s="337"/>
      <c r="BM63" s="338"/>
      <c r="BN63" s="338"/>
      <c r="BO63" s="339"/>
      <c r="BP63" s="336"/>
      <c r="BQ63" s="336"/>
      <c r="BR63" s="337"/>
      <c r="BS63" s="338"/>
      <c r="BT63" s="338"/>
      <c r="BU63" s="339"/>
      <c r="BV63" s="336"/>
      <c r="BW63" s="336"/>
      <c r="BX63" s="337"/>
      <c r="BY63" s="338"/>
      <c r="BZ63" s="338"/>
      <c r="CA63" s="339"/>
      <c r="CB63" s="336"/>
      <c r="CC63" s="336"/>
      <c r="CD63" s="337"/>
      <c r="CE63" s="338"/>
      <c r="CF63" s="338"/>
      <c r="CG63" s="339"/>
      <c r="CH63" s="336"/>
      <c r="CI63" s="336"/>
      <c r="CJ63" s="337"/>
      <c r="CK63" s="338"/>
      <c r="CL63" s="338"/>
      <c r="CM63" s="339"/>
      <c r="CN63" s="336"/>
      <c r="CO63" s="336"/>
      <c r="CP63" s="337"/>
      <c r="CQ63" s="338"/>
      <c r="CR63" s="338"/>
      <c r="CS63" s="339"/>
      <c r="CT63" s="323"/>
      <c r="CU63" s="323"/>
      <c r="CV63" s="324"/>
      <c r="CW63" s="325"/>
      <c r="CX63" s="325"/>
      <c r="CY63" s="326"/>
      <c r="CZ63" s="323"/>
      <c r="DA63" s="323"/>
      <c r="DB63" s="324"/>
      <c r="DC63" s="169"/>
      <c r="DD63" s="174"/>
      <c r="DE63" s="170"/>
      <c r="DF63" s="171"/>
      <c r="DG63" s="170"/>
      <c r="DH63" s="170"/>
    </row>
    <row r="64" spans="1:112" ht="24.75" customHeight="1">
      <c r="A64" s="257">
        <f>'Danh muc'!A64</f>
        <v>0</v>
      </c>
      <c r="B64" s="258">
        <f>'Danh muc'!B64</f>
        <v>0</v>
      </c>
      <c r="C64" s="259">
        <f>'Danh muc'!C64</f>
        <v>0</v>
      </c>
      <c r="D64" s="258">
        <f>'Danh muc'!E64</f>
        <v>0</v>
      </c>
      <c r="E64" s="202">
        <f t="shared" si="0"/>
        <v>0</v>
      </c>
      <c r="F64" s="202">
        <f t="shared" si="1"/>
        <v>0</v>
      </c>
      <c r="G64" s="202">
        <f t="shared" si="2"/>
        <v>0</v>
      </c>
      <c r="H64" s="203">
        <f t="shared" si="11"/>
        <v>0</v>
      </c>
      <c r="I64" s="204">
        <f t="shared" si="12"/>
        <v>0</v>
      </c>
      <c r="J64" s="203">
        <f t="shared" si="13"/>
        <v>0</v>
      </c>
      <c r="K64" s="205">
        <f t="shared" si="5"/>
        <v>0</v>
      </c>
      <c r="L64" s="206">
        <f t="shared" si="6"/>
        <v>0</v>
      </c>
      <c r="M64" s="207">
        <f t="shared" si="7"/>
        <v>0</v>
      </c>
      <c r="N64" s="336"/>
      <c r="O64" s="336"/>
      <c r="P64" s="337"/>
      <c r="Q64" s="338"/>
      <c r="R64" s="338"/>
      <c r="S64" s="339"/>
      <c r="T64" s="336"/>
      <c r="U64" s="336"/>
      <c r="V64" s="337"/>
      <c r="W64" s="338"/>
      <c r="X64" s="338"/>
      <c r="Y64" s="339"/>
      <c r="Z64" s="336"/>
      <c r="AA64" s="336"/>
      <c r="AB64" s="337"/>
      <c r="AC64" s="338"/>
      <c r="AD64" s="338"/>
      <c r="AE64" s="339"/>
      <c r="AF64" s="336"/>
      <c r="AG64" s="336"/>
      <c r="AH64" s="337"/>
      <c r="AI64" s="338"/>
      <c r="AJ64" s="338"/>
      <c r="AK64" s="339"/>
      <c r="AL64" s="336"/>
      <c r="AM64" s="336"/>
      <c r="AN64" s="337"/>
      <c r="AO64" s="338"/>
      <c r="AP64" s="338"/>
      <c r="AQ64" s="339"/>
      <c r="AR64" s="336"/>
      <c r="AS64" s="336"/>
      <c r="AT64" s="337"/>
      <c r="AU64" s="338"/>
      <c r="AV64" s="338"/>
      <c r="AW64" s="339"/>
      <c r="AX64" s="336"/>
      <c r="AY64" s="336"/>
      <c r="AZ64" s="337"/>
      <c r="BA64" s="338"/>
      <c r="BB64" s="338"/>
      <c r="BC64" s="339"/>
      <c r="BD64" s="336"/>
      <c r="BE64" s="336"/>
      <c r="BF64" s="337"/>
      <c r="BG64" s="338"/>
      <c r="BH64" s="338"/>
      <c r="BI64" s="339"/>
      <c r="BJ64" s="336"/>
      <c r="BK64" s="336"/>
      <c r="BL64" s="337"/>
      <c r="BM64" s="338"/>
      <c r="BN64" s="338"/>
      <c r="BO64" s="339"/>
      <c r="BP64" s="336"/>
      <c r="BQ64" s="336"/>
      <c r="BR64" s="337"/>
      <c r="BS64" s="338"/>
      <c r="BT64" s="338"/>
      <c r="BU64" s="339"/>
      <c r="BV64" s="336"/>
      <c r="BW64" s="336"/>
      <c r="BX64" s="337"/>
      <c r="BY64" s="338"/>
      <c r="BZ64" s="338"/>
      <c r="CA64" s="339"/>
      <c r="CB64" s="336"/>
      <c r="CC64" s="336"/>
      <c r="CD64" s="337"/>
      <c r="CE64" s="338"/>
      <c r="CF64" s="338"/>
      <c r="CG64" s="339"/>
      <c r="CH64" s="336"/>
      <c r="CI64" s="336"/>
      <c r="CJ64" s="337"/>
      <c r="CK64" s="338"/>
      <c r="CL64" s="338"/>
      <c r="CM64" s="339"/>
      <c r="CN64" s="336"/>
      <c r="CO64" s="336"/>
      <c r="CP64" s="337"/>
      <c r="CQ64" s="338"/>
      <c r="CR64" s="338"/>
      <c r="CS64" s="339"/>
      <c r="CT64" s="323"/>
      <c r="CU64" s="323"/>
      <c r="CV64" s="324"/>
      <c r="CW64" s="325"/>
      <c r="CX64" s="325"/>
      <c r="CY64" s="326"/>
      <c r="CZ64" s="323"/>
      <c r="DA64" s="323"/>
      <c r="DB64" s="324"/>
      <c r="DC64" s="169"/>
      <c r="DD64" s="174"/>
      <c r="DE64" s="170"/>
      <c r="DF64" s="171"/>
      <c r="DG64" s="170"/>
      <c r="DH64" s="170"/>
    </row>
    <row r="65" spans="1:112" ht="24.75" customHeight="1">
      <c r="A65" s="257">
        <f>'Danh muc'!A65</f>
        <v>0</v>
      </c>
      <c r="B65" s="258">
        <f>'Danh muc'!B65</f>
        <v>0</v>
      </c>
      <c r="C65" s="259">
        <f>'Danh muc'!C65</f>
        <v>0</v>
      </c>
      <c r="D65" s="258">
        <f>'Danh muc'!E65</f>
        <v>0</v>
      </c>
      <c r="E65" s="202">
        <f t="shared" si="0"/>
        <v>0</v>
      </c>
      <c r="F65" s="202">
        <f t="shared" si="1"/>
        <v>0</v>
      </c>
      <c r="G65" s="202">
        <f t="shared" si="2"/>
        <v>0</v>
      </c>
      <c r="H65" s="203">
        <f t="shared" si="11"/>
        <v>0</v>
      </c>
      <c r="I65" s="204">
        <f t="shared" si="12"/>
        <v>0</v>
      </c>
      <c r="J65" s="203">
        <f t="shared" si="13"/>
        <v>0</v>
      </c>
      <c r="K65" s="205">
        <f t="shared" si="5"/>
        <v>0</v>
      </c>
      <c r="L65" s="206">
        <f t="shared" si="6"/>
        <v>0</v>
      </c>
      <c r="M65" s="207">
        <f t="shared" si="7"/>
        <v>0</v>
      </c>
      <c r="N65" s="163"/>
      <c r="O65" s="164"/>
      <c r="P65" s="165"/>
      <c r="Q65" s="166"/>
      <c r="R65" s="167"/>
      <c r="S65" s="168"/>
      <c r="T65" s="163"/>
      <c r="U65" s="164"/>
      <c r="V65" s="165"/>
      <c r="W65" s="166"/>
      <c r="X65" s="167"/>
      <c r="Y65" s="168"/>
      <c r="Z65" s="163"/>
      <c r="AA65" s="164"/>
      <c r="AB65" s="165"/>
      <c r="AC65" s="166"/>
      <c r="AD65" s="167"/>
      <c r="AE65" s="168"/>
      <c r="AF65" s="163"/>
      <c r="AG65" s="164"/>
      <c r="AH65" s="165"/>
      <c r="AI65" s="166"/>
      <c r="AJ65" s="167"/>
      <c r="AK65" s="168"/>
      <c r="AL65" s="163"/>
      <c r="AM65" s="164"/>
      <c r="AN65" s="165"/>
      <c r="AO65" s="166"/>
      <c r="AP65" s="167"/>
      <c r="AQ65" s="168"/>
      <c r="AR65" s="163"/>
      <c r="AS65" s="164"/>
      <c r="AT65" s="165"/>
      <c r="AU65" s="166"/>
      <c r="AV65" s="167"/>
      <c r="AW65" s="168"/>
      <c r="AX65" s="163"/>
      <c r="AY65" s="164"/>
      <c r="AZ65" s="165"/>
      <c r="BA65" s="166"/>
      <c r="BB65" s="167"/>
      <c r="BC65" s="168"/>
      <c r="BD65" s="163"/>
      <c r="BE65" s="164"/>
      <c r="BF65" s="165"/>
      <c r="BG65" s="166"/>
      <c r="BH65" s="167"/>
      <c r="BI65" s="168"/>
      <c r="BJ65" s="163"/>
      <c r="BK65" s="164"/>
      <c r="BL65" s="165"/>
      <c r="BM65" s="166"/>
      <c r="BN65" s="167"/>
      <c r="BO65" s="168"/>
      <c r="BP65" s="163"/>
      <c r="BQ65" s="164"/>
      <c r="BR65" s="165"/>
      <c r="BS65" s="166"/>
      <c r="BT65" s="167"/>
      <c r="BU65" s="168"/>
      <c r="BV65" s="163"/>
      <c r="BW65" s="164"/>
      <c r="BX65" s="165"/>
      <c r="BY65" s="166"/>
      <c r="BZ65" s="167"/>
      <c r="CA65" s="168"/>
      <c r="CB65" s="163"/>
      <c r="CC65" s="164"/>
      <c r="CD65" s="165"/>
      <c r="CE65" s="166"/>
      <c r="CF65" s="167"/>
      <c r="CG65" s="168"/>
      <c r="CH65" s="163"/>
      <c r="CI65" s="164"/>
      <c r="CJ65" s="165"/>
      <c r="CK65" s="166"/>
      <c r="CL65" s="167"/>
      <c r="CM65" s="168"/>
      <c r="CN65" s="163"/>
      <c r="CO65" s="164"/>
      <c r="CP65" s="165"/>
      <c r="CQ65" s="166"/>
      <c r="CR65" s="167"/>
      <c r="CS65" s="168"/>
      <c r="CT65" s="163"/>
      <c r="CU65" s="164"/>
      <c r="CV65" s="165"/>
      <c r="CW65" s="166"/>
      <c r="CX65" s="167"/>
      <c r="CY65" s="168"/>
      <c r="CZ65" s="163"/>
      <c r="DA65" s="164"/>
      <c r="DB65" s="165"/>
      <c r="DC65" s="174"/>
      <c r="DD65" s="174"/>
      <c r="DE65" s="170"/>
      <c r="DF65" s="171"/>
      <c r="DG65" s="170"/>
      <c r="DH65" s="170"/>
    </row>
    <row r="66" spans="1:112" ht="24.75" customHeight="1">
      <c r="A66" s="257">
        <f>'Danh muc'!A66</f>
        <v>0</v>
      </c>
      <c r="B66" s="258">
        <f>'Danh muc'!B66</f>
        <v>0</v>
      </c>
      <c r="C66" s="259">
        <f>'Danh muc'!C66</f>
        <v>0</v>
      </c>
      <c r="D66" s="258">
        <f>'Danh muc'!E66</f>
        <v>0</v>
      </c>
      <c r="E66" s="202">
        <f t="shared" si="0"/>
        <v>0</v>
      </c>
      <c r="F66" s="202">
        <f t="shared" si="1"/>
        <v>0</v>
      </c>
      <c r="G66" s="202">
        <f t="shared" si="2"/>
        <v>0</v>
      </c>
      <c r="H66" s="203">
        <f t="shared" si="11"/>
        <v>0</v>
      </c>
      <c r="I66" s="204">
        <f t="shared" si="12"/>
        <v>0</v>
      </c>
      <c r="J66" s="203">
        <f t="shared" si="13"/>
        <v>0</v>
      </c>
      <c r="K66" s="205">
        <f t="shared" si="5"/>
        <v>0</v>
      </c>
      <c r="L66" s="206">
        <f t="shared" si="6"/>
        <v>0</v>
      </c>
      <c r="M66" s="207">
        <f t="shared" si="7"/>
        <v>0</v>
      </c>
      <c r="N66" s="163"/>
      <c r="O66" s="164"/>
      <c r="P66" s="165"/>
      <c r="Q66" s="166"/>
      <c r="R66" s="167"/>
      <c r="S66" s="168"/>
      <c r="T66" s="163"/>
      <c r="U66" s="164"/>
      <c r="V66" s="165"/>
      <c r="W66" s="166"/>
      <c r="X66" s="167"/>
      <c r="Y66" s="168"/>
      <c r="Z66" s="163"/>
      <c r="AA66" s="164"/>
      <c r="AB66" s="165"/>
      <c r="AC66" s="166"/>
      <c r="AD66" s="167"/>
      <c r="AE66" s="168"/>
      <c r="AF66" s="163"/>
      <c r="AG66" s="164"/>
      <c r="AH66" s="165"/>
      <c r="AI66" s="166"/>
      <c r="AJ66" s="167"/>
      <c r="AK66" s="168"/>
      <c r="AL66" s="163"/>
      <c r="AM66" s="164"/>
      <c r="AN66" s="165"/>
      <c r="AO66" s="166"/>
      <c r="AP66" s="167"/>
      <c r="AQ66" s="168"/>
      <c r="AR66" s="163"/>
      <c r="AS66" s="164"/>
      <c r="AT66" s="165"/>
      <c r="AU66" s="166"/>
      <c r="AV66" s="167"/>
      <c r="AW66" s="168"/>
      <c r="AX66" s="163"/>
      <c r="AY66" s="164"/>
      <c r="AZ66" s="165"/>
      <c r="BA66" s="166"/>
      <c r="BB66" s="167"/>
      <c r="BC66" s="168"/>
      <c r="BD66" s="163"/>
      <c r="BE66" s="164"/>
      <c r="BF66" s="165"/>
      <c r="BG66" s="166"/>
      <c r="BH66" s="167"/>
      <c r="BI66" s="168"/>
      <c r="BJ66" s="163"/>
      <c r="BK66" s="164"/>
      <c r="BL66" s="165"/>
      <c r="BM66" s="166"/>
      <c r="BN66" s="167"/>
      <c r="BO66" s="168"/>
      <c r="BP66" s="163"/>
      <c r="BQ66" s="164"/>
      <c r="BR66" s="165"/>
      <c r="BS66" s="166"/>
      <c r="BT66" s="167"/>
      <c r="BU66" s="168"/>
      <c r="BV66" s="163"/>
      <c r="BW66" s="164"/>
      <c r="BX66" s="165"/>
      <c r="BY66" s="166"/>
      <c r="BZ66" s="167"/>
      <c r="CA66" s="168"/>
      <c r="CB66" s="163"/>
      <c r="CC66" s="164"/>
      <c r="CD66" s="165"/>
      <c r="CE66" s="166"/>
      <c r="CF66" s="167"/>
      <c r="CG66" s="168"/>
      <c r="CH66" s="163"/>
      <c r="CI66" s="164"/>
      <c r="CJ66" s="165"/>
      <c r="CK66" s="166"/>
      <c r="CL66" s="167"/>
      <c r="CM66" s="168"/>
      <c r="CN66" s="163"/>
      <c r="CO66" s="164"/>
      <c r="CP66" s="165"/>
      <c r="CQ66" s="166"/>
      <c r="CR66" s="167"/>
      <c r="CS66" s="168"/>
      <c r="CT66" s="163"/>
      <c r="CU66" s="164"/>
      <c r="CV66" s="165"/>
      <c r="CW66" s="166"/>
      <c r="CX66" s="167"/>
      <c r="CY66" s="168"/>
      <c r="CZ66" s="163"/>
      <c r="DA66" s="164"/>
      <c r="DB66" s="165"/>
      <c r="DC66" s="174"/>
      <c r="DD66" s="174"/>
      <c r="DE66" s="170"/>
      <c r="DF66" s="171"/>
      <c r="DG66" s="170"/>
      <c r="DH66" s="170"/>
    </row>
    <row r="67" spans="1:112" ht="24.75" customHeight="1">
      <c r="A67" s="257">
        <f>'Danh muc'!A67</f>
        <v>0</v>
      </c>
      <c r="B67" s="258">
        <f>'Danh muc'!B67</f>
        <v>0</v>
      </c>
      <c r="C67" s="259">
        <f>'Danh muc'!C67</f>
        <v>0</v>
      </c>
      <c r="D67" s="258">
        <f>'Danh muc'!E67</f>
        <v>0</v>
      </c>
      <c r="E67" s="202">
        <f t="shared" si="0"/>
        <v>0</v>
      </c>
      <c r="F67" s="202">
        <f t="shared" si="1"/>
        <v>0</v>
      </c>
      <c r="G67" s="202">
        <f t="shared" si="2"/>
        <v>0</v>
      </c>
      <c r="H67" s="203">
        <f t="shared" si="11"/>
        <v>0</v>
      </c>
      <c r="I67" s="204">
        <f t="shared" si="12"/>
        <v>0</v>
      </c>
      <c r="J67" s="203">
        <f t="shared" si="13"/>
        <v>0</v>
      </c>
      <c r="K67" s="205">
        <f t="shared" si="5"/>
        <v>0</v>
      </c>
      <c r="L67" s="206">
        <f t="shared" si="6"/>
        <v>0</v>
      </c>
      <c r="M67" s="207">
        <f t="shared" si="7"/>
        <v>0</v>
      </c>
      <c r="N67" s="163"/>
      <c r="O67" s="164"/>
      <c r="P67" s="165"/>
      <c r="Q67" s="166"/>
      <c r="R67" s="167"/>
      <c r="S67" s="168"/>
      <c r="T67" s="163"/>
      <c r="U67" s="164"/>
      <c r="V67" s="165"/>
      <c r="W67" s="166"/>
      <c r="X67" s="167"/>
      <c r="Y67" s="168"/>
      <c r="Z67" s="163"/>
      <c r="AA67" s="164"/>
      <c r="AB67" s="165"/>
      <c r="AC67" s="166"/>
      <c r="AD67" s="167"/>
      <c r="AE67" s="168"/>
      <c r="AF67" s="163"/>
      <c r="AG67" s="164"/>
      <c r="AH67" s="165"/>
      <c r="AI67" s="166"/>
      <c r="AJ67" s="167"/>
      <c r="AK67" s="168"/>
      <c r="AL67" s="163"/>
      <c r="AM67" s="164"/>
      <c r="AN67" s="165"/>
      <c r="AO67" s="166"/>
      <c r="AP67" s="167"/>
      <c r="AQ67" s="168"/>
      <c r="AR67" s="163"/>
      <c r="AS67" s="164"/>
      <c r="AT67" s="165"/>
      <c r="AU67" s="166"/>
      <c r="AV67" s="167"/>
      <c r="AW67" s="168"/>
      <c r="AX67" s="163"/>
      <c r="AY67" s="164"/>
      <c r="AZ67" s="165"/>
      <c r="BA67" s="166"/>
      <c r="BB67" s="167"/>
      <c r="BC67" s="168"/>
      <c r="BD67" s="163"/>
      <c r="BE67" s="164"/>
      <c r="BF67" s="165"/>
      <c r="BG67" s="166"/>
      <c r="BH67" s="167"/>
      <c r="BI67" s="168"/>
      <c r="BJ67" s="163"/>
      <c r="BK67" s="164"/>
      <c r="BL67" s="165"/>
      <c r="BM67" s="166"/>
      <c r="BN67" s="167"/>
      <c r="BO67" s="168"/>
      <c r="BP67" s="163"/>
      <c r="BQ67" s="164"/>
      <c r="BR67" s="165"/>
      <c r="BS67" s="166"/>
      <c r="BT67" s="167"/>
      <c r="BU67" s="168"/>
      <c r="BV67" s="163"/>
      <c r="BW67" s="164"/>
      <c r="BX67" s="165"/>
      <c r="BY67" s="166"/>
      <c r="BZ67" s="167"/>
      <c r="CA67" s="168"/>
      <c r="CB67" s="163"/>
      <c r="CC67" s="164"/>
      <c r="CD67" s="165"/>
      <c r="CE67" s="166"/>
      <c r="CF67" s="167"/>
      <c r="CG67" s="168"/>
      <c r="CH67" s="163"/>
      <c r="CI67" s="164"/>
      <c r="CJ67" s="165"/>
      <c r="CK67" s="166"/>
      <c r="CL67" s="167"/>
      <c r="CM67" s="168"/>
      <c r="CN67" s="163"/>
      <c r="CO67" s="164"/>
      <c r="CP67" s="165"/>
      <c r="CQ67" s="166"/>
      <c r="CR67" s="167"/>
      <c r="CS67" s="168"/>
      <c r="CT67" s="163"/>
      <c r="CU67" s="164"/>
      <c r="CV67" s="165"/>
      <c r="CW67" s="166"/>
      <c r="CX67" s="167"/>
      <c r="CY67" s="168"/>
      <c r="CZ67" s="163"/>
      <c r="DA67" s="164"/>
      <c r="DB67" s="165"/>
      <c r="DC67" s="174"/>
      <c r="DD67" s="174"/>
      <c r="DE67" s="170"/>
      <c r="DF67" s="171"/>
      <c r="DG67" s="170"/>
      <c r="DH67" s="170"/>
    </row>
    <row r="68" spans="1:112" ht="24.75" customHeight="1">
      <c r="A68" s="257">
        <f>'Danh muc'!A68</f>
        <v>0</v>
      </c>
      <c r="B68" s="258">
        <f>'Danh muc'!B68</f>
        <v>0</v>
      </c>
      <c r="C68" s="259">
        <f>'Danh muc'!C68</f>
        <v>0</v>
      </c>
      <c r="D68" s="258">
        <f>'Danh muc'!E68</f>
        <v>0</v>
      </c>
      <c r="E68" s="202">
        <f t="shared" si="0"/>
        <v>0</v>
      </c>
      <c r="F68" s="202">
        <f t="shared" si="1"/>
        <v>0</v>
      </c>
      <c r="G68" s="202">
        <f t="shared" si="2"/>
        <v>0</v>
      </c>
      <c r="H68" s="203">
        <f t="shared" si="11"/>
        <v>0</v>
      </c>
      <c r="I68" s="204">
        <f t="shared" si="12"/>
        <v>0</v>
      </c>
      <c r="J68" s="203">
        <f t="shared" si="13"/>
        <v>0</v>
      </c>
      <c r="K68" s="205">
        <f t="shared" si="5"/>
        <v>0</v>
      </c>
      <c r="L68" s="206">
        <f t="shared" si="6"/>
        <v>0</v>
      </c>
      <c r="M68" s="207">
        <f t="shared" si="7"/>
        <v>0</v>
      </c>
      <c r="N68" s="163"/>
      <c r="O68" s="164"/>
      <c r="P68" s="165"/>
      <c r="Q68" s="166"/>
      <c r="R68" s="167"/>
      <c r="S68" s="168"/>
      <c r="T68" s="163"/>
      <c r="U68" s="164"/>
      <c r="V68" s="165"/>
      <c r="W68" s="166"/>
      <c r="X68" s="167"/>
      <c r="Y68" s="168"/>
      <c r="Z68" s="163"/>
      <c r="AA68" s="164"/>
      <c r="AB68" s="165"/>
      <c r="AC68" s="166"/>
      <c r="AD68" s="167"/>
      <c r="AE68" s="168"/>
      <c r="AF68" s="163"/>
      <c r="AG68" s="164"/>
      <c r="AH68" s="165"/>
      <c r="AI68" s="166"/>
      <c r="AJ68" s="167"/>
      <c r="AK68" s="168"/>
      <c r="AL68" s="163"/>
      <c r="AM68" s="164"/>
      <c r="AN68" s="165"/>
      <c r="AO68" s="166"/>
      <c r="AP68" s="167"/>
      <c r="AQ68" s="168"/>
      <c r="AR68" s="163"/>
      <c r="AS68" s="164"/>
      <c r="AT68" s="165"/>
      <c r="AU68" s="166"/>
      <c r="AV68" s="167"/>
      <c r="AW68" s="168"/>
      <c r="AX68" s="163"/>
      <c r="AY68" s="164"/>
      <c r="AZ68" s="165"/>
      <c r="BA68" s="166"/>
      <c r="BB68" s="167"/>
      <c r="BC68" s="168"/>
      <c r="BD68" s="163"/>
      <c r="BE68" s="164"/>
      <c r="BF68" s="165"/>
      <c r="BG68" s="166"/>
      <c r="BH68" s="167"/>
      <c r="BI68" s="168"/>
      <c r="BJ68" s="163"/>
      <c r="BK68" s="164"/>
      <c r="BL68" s="165"/>
      <c r="BM68" s="166"/>
      <c r="BN68" s="167"/>
      <c r="BO68" s="168"/>
      <c r="BP68" s="163"/>
      <c r="BQ68" s="164"/>
      <c r="BR68" s="165"/>
      <c r="BS68" s="166"/>
      <c r="BT68" s="167"/>
      <c r="BU68" s="168"/>
      <c r="BV68" s="163"/>
      <c r="BW68" s="164"/>
      <c r="BX68" s="165"/>
      <c r="BY68" s="166"/>
      <c r="BZ68" s="167"/>
      <c r="CA68" s="168"/>
      <c r="CB68" s="163"/>
      <c r="CC68" s="164"/>
      <c r="CD68" s="165"/>
      <c r="CE68" s="166"/>
      <c r="CF68" s="167"/>
      <c r="CG68" s="168"/>
      <c r="CH68" s="163"/>
      <c r="CI68" s="164"/>
      <c r="CJ68" s="165"/>
      <c r="CK68" s="166"/>
      <c r="CL68" s="167"/>
      <c r="CM68" s="168"/>
      <c r="CN68" s="163"/>
      <c r="CO68" s="164"/>
      <c r="CP68" s="165"/>
      <c r="CQ68" s="166"/>
      <c r="CR68" s="167"/>
      <c r="CS68" s="168"/>
      <c r="CT68" s="163"/>
      <c r="CU68" s="164"/>
      <c r="CV68" s="165"/>
      <c r="CW68" s="166"/>
      <c r="CX68" s="167"/>
      <c r="CY68" s="168"/>
      <c r="CZ68" s="163"/>
      <c r="DA68" s="164"/>
      <c r="DB68" s="165"/>
      <c r="DC68" s="174"/>
      <c r="DD68" s="174"/>
      <c r="DE68" s="170"/>
      <c r="DF68" s="171"/>
      <c r="DG68" s="170"/>
      <c r="DH68" s="170"/>
    </row>
    <row r="69" spans="1:112" ht="24.75" customHeight="1">
      <c r="A69" s="257">
        <f>'Danh muc'!A69</f>
        <v>0</v>
      </c>
      <c r="B69" s="258">
        <f>'Danh muc'!B69</f>
        <v>0</v>
      </c>
      <c r="C69" s="259">
        <f>'Danh muc'!C69</f>
        <v>0</v>
      </c>
      <c r="D69" s="258">
        <f>'Danh muc'!E69</f>
        <v>0</v>
      </c>
      <c r="E69" s="202">
        <f t="shared" si="0"/>
        <v>0</v>
      </c>
      <c r="F69" s="202">
        <f t="shared" si="1"/>
        <v>0</v>
      </c>
      <c r="G69" s="202">
        <f t="shared" si="2"/>
        <v>0</v>
      </c>
      <c r="H69" s="203">
        <f t="shared" si="11"/>
        <v>0</v>
      </c>
      <c r="I69" s="204">
        <f t="shared" si="12"/>
        <v>0</v>
      </c>
      <c r="J69" s="203">
        <f t="shared" si="13"/>
        <v>0</v>
      </c>
      <c r="K69" s="205">
        <f t="shared" si="5"/>
        <v>0</v>
      </c>
      <c r="L69" s="206">
        <f t="shared" si="6"/>
        <v>0</v>
      </c>
      <c r="M69" s="207">
        <f t="shared" si="7"/>
        <v>0</v>
      </c>
      <c r="N69" s="163"/>
      <c r="O69" s="164"/>
      <c r="P69" s="165"/>
      <c r="Q69" s="166"/>
      <c r="R69" s="167"/>
      <c r="S69" s="168"/>
      <c r="T69" s="163"/>
      <c r="U69" s="164"/>
      <c r="V69" s="165"/>
      <c r="W69" s="166"/>
      <c r="X69" s="167"/>
      <c r="Y69" s="168"/>
      <c r="Z69" s="163"/>
      <c r="AA69" s="164"/>
      <c r="AB69" s="165"/>
      <c r="AC69" s="166"/>
      <c r="AD69" s="167"/>
      <c r="AE69" s="168"/>
      <c r="AF69" s="163"/>
      <c r="AG69" s="164"/>
      <c r="AH69" s="165"/>
      <c r="AI69" s="166"/>
      <c r="AJ69" s="167"/>
      <c r="AK69" s="168"/>
      <c r="AL69" s="163"/>
      <c r="AM69" s="164"/>
      <c r="AN69" s="165"/>
      <c r="AO69" s="166"/>
      <c r="AP69" s="167"/>
      <c r="AQ69" s="168"/>
      <c r="AR69" s="163"/>
      <c r="AS69" s="164"/>
      <c r="AT69" s="165"/>
      <c r="AU69" s="166"/>
      <c r="AV69" s="167"/>
      <c r="AW69" s="168"/>
      <c r="AX69" s="163"/>
      <c r="AY69" s="164"/>
      <c r="AZ69" s="165"/>
      <c r="BA69" s="166"/>
      <c r="BB69" s="167"/>
      <c r="BC69" s="168"/>
      <c r="BD69" s="163"/>
      <c r="BE69" s="164"/>
      <c r="BF69" s="165"/>
      <c r="BG69" s="166"/>
      <c r="BH69" s="167"/>
      <c r="BI69" s="168"/>
      <c r="BJ69" s="163"/>
      <c r="BK69" s="164"/>
      <c r="BL69" s="165"/>
      <c r="BM69" s="166"/>
      <c r="BN69" s="167"/>
      <c r="BO69" s="168"/>
      <c r="BP69" s="163"/>
      <c r="BQ69" s="164"/>
      <c r="BR69" s="165"/>
      <c r="BS69" s="166"/>
      <c r="BT69" s="167"/>
      <c r="BU69" s="168"/>
      <c r="BV69" s="163"/>
      <c r="BW69" s="164"/>
      <c r="BX69" s="165"/>
      <c r="BY69" s="166"/>
      <c r="BZ69" s="167"/>
      <c r="CA69" s="168"/>
      <c r="CB69" s="163"/>
      <c r="CC69" s="164"/>
      <c r="CD69" s="165"/>
      <c r="CE69" s="166"/>
      <c r="CF69" s="167"/>
      <c r="CG69" s="168"/>
      <c r="CH69" s="163"/>
      <c r="CI69" s="164"/>
      <c r="CJ69" s="165"/>
      <c r="CK69" s="166"/>
      <c r="CL69" s="167"/>
      <c r="CM69" s="168"/>
      <c r="CN69" s="163"/>
      <c r="CO69" s="164"/>
      <c r="CP69" s="165"/>
      <c r="CQ69" s="166"/>
      <c r="CR69" s="167"/>
      <c r="CS69" s="168"/>
      <c r="CT69" s="163"/>
      <c r="CU69" s="164"/>
      <c r="CV69" s="165"/>
      <c r="CW69" s="166"/>
      <c r="CX69" s="167"/>
      <c r="CY69" s="168"/>
      <c r="CZ69" s="163"/>
      <c r="DA69" s="164"/>
      <c r="DB69" s="165"/>
      <c r="DC69" s="174"/>
      <c r="DD69" s="174"/>
      <c r="DE69" s="170"/>
      <c r="DF69" s="171"/>
      <c r="DG69" s="170"/>
      <c r="DH69" s="170"/>
    </row>
    <row r="70" spans="1:112" ht="24.75" customHeight="1">
      <c r="A70" s="257">
        <f>'Danh muc'!A70</f>
        <v>0</v>
      </c>
      <c r="B70" s="258">
        <f>'Danh muc'!B70</f>
        <v>0</v>
      </c>
      <c r="C70" s="259">
        <f>'Danh muc'!C70</f>
        <v>0</v>
      </c>
      <c r="D70" s="258">
        <f>'Danh muc'!E70</f>
        <v>0</v>
      </c>
      <c r="E70" s="202">
        <f t="shared" si="0"/>
        <v>0</v>
      </c>
      <c r="F70" s="202">
        <f t="shared" si="1"/>
        <v>0</v>
      </c>
      <c r="G70" s="202">
        <f t="shared" si="2"/>
        <v>0</v>
      </c>
      <c r="H70" s="203">
        <f t="shared" si="11"/>
        <v>0</v>
      </c>
      <c r="I70" s="204">
        <f t="shared" si="12"/>
        <v>0</v>
      </c>
      <c r="J70" s="203">
        <f t="shared" si="13"/>
        <v>0</v>
      </c>
      <c r="K70" s="205">
        <f t="shared" si="5"/>
        <v>0</v>
      </c>
      <c r="L70" s="206">
        <f t="shared" si="6"/>
        <v>0</v>
      </c>
      <c r="M70" s="207">
        <f t="shared" si="7"/>
        <v>0</v>
      </c>
      <c r="N70" s="163"/>
      <c r="O70" s="164"/>
      <c r="P70" s="165"/>
      <c r="Q70" s="166"/>
      <c r="R70" s="167"/>
      <c r="S70" s="168"/>
      <c r="T70" s="163"/>
      <c r="U70" s="164"/>
      <c r="V70" s="165"/>
      <c r="W70" s="166"/>
      <c r="X70" s="167"/>
      <c r="Y70" s="168"/>
      <c r="Z70" s="163"/>
      <c r="AA70" s="164"/>
      <c r="AB70" s="165"/>
      <c r="AC70" s="166"/>
      <c r="AD70" s="167"/>
      <c r="AE70" s="168"/>
      <c r="AF70" s="163"/>
      <c r="AG70" s="164"/>
      <c r="AH70" s="165"/>
      <c r="AI70" s="166"/>
      <c r="AJ70" s="167"/>
      <c r="AK70" s="168"/>
      <c r="AL70" s="163"/>
      <c r="AM70" s="164"/>
      <c r="AN70" s="165"/>
      <c r="AO70" s="166"/>
      <c r="AP70" s="167"/>
      <c r="AQ70" s="168"/>
      <c r="AR70" s="163"/>
      <c r="AS70" s="164"/>
      <c r="AT70" s="165"/>
      <c r="AU70" s="166"/>
      <c r="AV70" s="167"/>
      <c r="AW70" s="168"/>
      <c r="AX70" s="163"/>
      <c r="AY70" s="164"/>
      <c r="AZ70" s="165"/>
      <c r="BA70" s="166"/>
      <c r="BB70" s="167"/>
      <c r="BC70" s="168"/>
      <c r="BD70" s="163"/>
      <c r="BE70" s="164"/>
      <c r="BF70" s="165"/>
      <c r="BG70" s="166"/>
      <c r="BH70" s="167"/>
      <c r="BI70" s="168"/>
      <c r="BJ70" s="163"/>
      <c r="BK70" s="164"/>
      <c r="BL70" s="165"/>
      <c r="BM70" s="166"/>
      <c r="BN70" s="167"/>
      <c r="BO70" s="168"/>
      <c r="BP70" s="163"/>
      <c r="BQ70" s="164"/>
      <c r="BR70" s="165"/>
      <c r="BS70" s="166"/>
      <c r="BT70" s="167"/>
      <c r="BU70" s="168"/>
      <c r="BV70" s="163"/>
      <c r="BW70" s="164"/>
      <c r="BX70" s="165"/>
      <c r="BY70" s="166"/>
      <c r="BZ70" s="167"/>
      <c r="CA70" s="168"/>
      <c r="CB70" s="163"/>
      <c r="CC70" s="164"/>
      <c r="CD70" s="165"/>
      <c r="CE70" s="166"/>
      <c r="CF70" s="167"/>
      <c r="CG70" s="168"/>
      <c r="CH70" s="163"/>
      <c r="CI70" s="164"/>
      <c r="CJ70" s="165"/>
      <c r="CK70" s="166"/>
      <c r="CL70" s="167"/>
      <c r="CM70" s="168"/>
      <c r="CN70" s="163"/>
      <c r="CO70" s="164"/>
      <c r="CP70" s="165"/>
      <c r="CQ70" s="166"/>
      <c r="CR70" s="167"/>
      <c r="CS70" s="168"/>
      <c r="CT70" s="163"/>
      <c r="CU70" s="164"/>
      <c r="CV70" s="165"/>
      <c r="CW70" s="166"/>
      <c r="CX70" s="167"/>
      <c r="CY70" s="168"/>
      <c r="CZ70" s="163"/>
      <c r="DA70" s="164"/>
      <c r="DB70" s="165"/>
      <c r="DC70" s="174"/>
      <c r="DD70" s="174"/>
      <c r="DE70" s="170"/>
      <c r="DF70" s="171"/>
      <c r="DG70" s="170"/>
      <c r="DH70" s="170"/>
    </row>
    <row r="71" spans="1:112" ht="24.75" customHeight="1">
      <c r="A71" s="257">
        <f>'Danh muc'!A71</f>
        <v>0</v>
      </c>
      <c r="B71" s="258">
        <f>'Danh muc'!B71</f>
        <v>0</v>
      </c>
      <c r="C71" s="259">
        <f>'Danh muc'!C71</f>
        <v>0</v>
      </c>
      <c r="D71" s="258">
        <f>'Danh muc'!E71</f>
        <v>0</v>
      </c>
      <c r="E71" s="202">
        <f t="shared" si="0"/>
        <v>0</v>
      </c>
      <c r="F71" s="202">
        <f t="shared" si="1"/>
        <v>0</v>
      </c>
      <c r="G71" s="202">
        <f t="shared" si="2"/>
        <v>0</v>
      </c>
      <c r="H71" s="203">
        <f t="shared" si="11"/>
        <v>0</v>
      </c>
      <c r="I71" s="204">
        <f t="shared" si="12"/>
        <v>0</v>
      </c>
      <c r="J71" s="203">
        <f t="shared" si="13"/>
        <v>0</v>
      </c>
      <c r="K71" s="205">
        <f t="shared" si="5"/>
        <v>0</v>
      </c>
      <c r="L71" s="206">
        <f t="shared" si="6"/>
        <v>0</v>
      </c>
      <c r="M71" s="207">
        <f t="shared" si="7"/>
        <v>0</v>
      </c>
      <c r="N71" s="163"/>
      <c r="O71" s="164"/>
      <c r="P71" s="165"/>
      <c r="Q71" s="166"/>
      <c r="R71" s="167"/>
      <c r="S71" s="168"/>
      <c r="T71" s="163"/>
      <c r="U71" s="164"/>
      <c r="V71" s="165"/>
      <c r="W71" s="166"/>
      <c r="X71" s="167"/>
      <c r="Y71" s="168"/>
      <c r="Z71" s="163"/>
      <c r="AA71" s="164"/>
      <c r="AB71" s="165"/>
      <c r="AC71" s="166"/>
      <c r="AD71" s="167"/>
      <c r="AE71" s="168"/>
      <c r="AF71" s="163"/>
      <c r="AG71" s="164"/>
      <c r="AH71" s="165"/>
      <c r="AI71" s="166"/>
      <c r="AJ71" s="167"/>
      <c r="AK71" s="168"/>
      <c r="AL71" s="163"/>
      <c r="AM71" s="164"/>
      <c r="AN71" s="165"/>
      <c r="AO71" s="166"/>
      <c r="AP71" s="167"/>
      <c r="AQ71" s="168"/>
      <c r="AR71" s="163"/>
      <c r="AS71" s="164"/>
      <c r="AT71" s="165"/>
      <c r="AU71" s="166"/>
      <c r="AV71" s="167"/>
      <c r="AW71" s="168"/>
      <c r="AX71" s="163"/>
      <c r="AY71" s="164"/>
      <c r="AZ71" s="165"/>
      <c r="BA71" s="166"/>
      <c r="BB71" s="167"/>
      <c r="BC71" s="168"/>
      <c r="BD71" s="163"/>
      <c r="BE71" s="164"/>
      <c r="BF71" s="165"/>
      <c r="BG71" s="166"/>
      <c r="BH71" s="167"/>
      <c r="BI71" s="168"/>
      <c r="BJ71" s="163"/>
      <c r="BK71" s="164"/>
      <c r="BL71" s="165"/>
      <c r="BM71" s="166"/>
      <c r="BN71" s="167"/>
      <c r="BO71" s="168"/>
      <c r="BP71" s="163"/>
      <c r="BQ71" s="164"/>
      <c r="BR71" s="165"/>
      <c r="BS71" s="166"/>
      <c r="BT71" s="167"/>
      <c r="BU71" s="168"/>
      <c r="BV71" s="163"/>
      <c r="BW71" s="164"/>
      <c r="BX71" s="165"/>
      <c r="BY71" s="166"/>
      <c r="BZ71" s="167"/>
      <c r="CA71" s="168"/>
      <c r="CB71" s="163"/>
      <c r="CC71" s="164"/>
      <c r="CD71" s="165"/>
      <c r="CE71" s="166"/>
      <c r="CF71" s="167"/>
      <c r="CG71" s="168"/>
      <c r="CH71" s="163"/>
      <c r="CI71" s="164"/>
      <c r="CJ71" s="165"/>
      <c r="CK71" s="166"/>
      <c r="CL71" s="167"/>
      <c r="CM71" s="168"/>
      <c r="CN71" s="163"/>
      <c r="CO71" s="164"/>
      <c r="CP71" s="165"/>
      <c r="CQ71" s="166"/>
      <c r="CR71" s="167"/>
      <c r="CS71" s="168"/>
      <c r="CT71" s="163"/>
      <c r="CU71" s="164"/>
      <c r="CV71" s="165"/>
      <c r="CW71" s="166"/>
      <c r="CX71" s="167"/>
      <c r="CY71" s="168"/>
      <c r="CZ71" s="163"/>
      <c r="DA71" s="164"/>
      <c r="DB71" s="165"/>
      <c r="DC71" s="174"/>
      <c r="DD71" s="174"/>
      <c r="DE71" s="170"/>
      <c r="DF71" s="171"/>
      <c r="DG71" s="170"/>
      <c r="DH71" s="170"/>
    </row>
    <row r="72" spans="1:112" ht="24.75" customHeight="1">
      <c r="A72" s="257">
        <f>'Danh muc'!A72</f>
        <v>0</v>
      </c>
      <c r="B72" s="258">
        <f>'Danh muc'!B72</f>
        <v>0</v>
      </c>
      <c r="C72" s="259">
        <f>'Danh muc'!C72</f>
        <v>0</v>
      </c>
      <c r="D72" s="258">
        <f>'Danh muc'!E72</f>
        <v>0</v>
      </c>
      <c r="E72" s="202">
        <f t="shared" si="0"/>
        <v>0</v>
      </c>
      <c r="F72" s="202">
        <f t="shared" si="1"/>
        <v>0</v>
      </c>
      <c r="G72" s="202">
        <f t="shared" si="2"/>
        <v>0</v>
      </c>
      <c r="H72" s="203">
        <f t="shared" si="11"/>
        <v>0</v>
      </c>
      <c r="I72" s="204">
        <f t="shared" si="12"/>
        <v>0</v>
      </c>
      <c r="J72" s="203">
        <f t="shared" si="13"/>
        <v>0</v>
      </c>
      <c r="K72" s="205">
        <f t="shared" si="5"/>
        <v>0</v>
      </c>
      <c r="L72" s="206">
        <f t="shared" si="6"/>
        <v>0</v>
      </c>
      <c r="M72" s="207">
        <f t="shared" si="7"/>
        <v>0</v>
      </c>
      <c r="N72" s="163"/>
      <c r="O72" s="164"/>
      <c r="P72" s="165"/>
      <c r="Q72" s="166"/>
      <c r="R72" s="167"/>
      <c r="S72" s="168"/>
      <c r="T72" s="163"/>
      <c r="U72" s="164"/>
      <c r="V72" s="165"/>
      <c r="W72" s="166"/>
      <c r="X72" s="167"/>
      <c r="Y72" s="168"/>
      <c r="Z72" s="163"/>
      <c r="AA72" s="164"/>
      <c r="AB72" s="165"/>
      <c r="AC72" s="166"/>
      <c r="AD72" s="167"/>
      <c r="AE72" s="168"/>
      <c r="AF72" s="163"/>
      <c r="AG72" s="164"/>
      <c r="AH72" s="165"/>
      <c r="AI72" s="166"/>
      <c r="AJ72" s="167"/>
      <c r="AK72" s="168"/>
      <c r="AL72" s="163"/>
      <c r="AM72" s="164"/>
      <c r="AN72" s="165"/>
      <c r="AO72" s="166"/>
      <c r="AP72" s="167"/>
      <c r="AQ72" s="168"/>
      <c r="AR72" s="163"/>
      <c r="AS72" s="164"/>
      <c r="AT72" s="165"/>
      <c r="AU72" s="166"/>
      <c r="AV72" s="167"/>
      <c r="AW72" s="168"/>
      <c r="AX72" s="163"/>
      <c r="AY72" s="164"/>
      <c r="AZ72" s="165"/>
      <c r="BA72" s="166"/>
      <c r="BB72" s="167"/>
      <c r="BC72" s="168"/>
      <c r="BD72" s="163"/>
      <c r="BE72" s="164"/>
      <c r="BF72" s="165"/>
      <c r="BG72" s="166"/>
      <c r="BH72" s="167"/>
      <c r="BI72" s="168"/>
      <c r="BJ72" s="163"/>
      <c r="BK72" s="164"/>
      <c r="BL72" s="165"/>
      <c r="BM72" s="166"/>
      <c r="BN72" s="167"/>
      <c r="BO72" s="168"/>
      <c r="BP72" s="163"/>
      <c r="BQ72" s="164"/>
      <c r="BR72" s="165"/>
      <c r="BS72" s="166"/>
      <c r="BT72" s="167"/>
      <c r="BU72" s="168"/>
      <c r="BV72" s="163"/>
      <c r="BW72" s="164"/>
      <c r="BX72" s="165"/>
      <c r="BY72" s="166"/>
      <c r="BZ72" s="167"/>
      <c r="CA72" s="168"/>
      <c r="CB72" s="163"/>
      <c r="CC72" s="164"/>
      <c r="CD72" s="165"/>
      <c r="CE72" s="166"/>
      <c r="CF72" s="167"/>
      <c r="CG72" s="168"/>
      <c r="CH72" s="163"/>
      <c r="CI72" s="164"/>
      <c r="CJ72" s="165"/>
      <c r="CK72" s="166"/>
      <c r="CL72" s="167"/>
      <c r="CM72" s="168"/>
      <c r="CN72" s="163"/>
      <c r="CO72" s="164"/>
      <c r="CP72" s="165"/>
      <c r="CQ72" s="166"/>
      <c r="CR72" s="167"/>
      <c r="CS72" s="168"/>
      <c r="CT72" s="163"/>
      <c r="CU72" s="164"/>
      <c r="CV72" s="165"/>
      <c r="CW72" s="166"/>
      <c r="CX72" s="167"/>
      <c r="CY72" s="168"/>
      <c r="CZ72" s="163"/>
      <c r="DA72" s="164"/>
      <c r="DB72" s="165"/>
      <c r="DC72" s="174"/>
      <c r="DD72" s="174"/>
      <c r="DE72" s="170"/>
      <c r="DF72" s="171"/>
      <c r="DG72" s="170"/>
      <c r="DH72" s="170"/>
    </row>
    <row r="73" spans="1:112" ht="24.75" customHeight="1">
      <c r="A73" s="200">
        <f>'Danh muc'!A73</f>
        <v>0</v>
      </c>
      <c r="B73" s="201">
        <f>'Danh muc'!B73</f>
        <v>0</v>
      </c>
      <c r="C73" s="259">
        <f>'Danh muc'!C73</f>
        <v>0</v>
      </c>
      <c r="D73" s="201">
        <f>'Danh muc'!E73</f>
        <v>0</v>
      </c>
      <c r="E73" s="202">
        <f t="shared" ref="E73:E99" si="14">IF(OR(N73="LN",N73&lt;=1),0,N73)+IF(OR(Q73="LN",Q73&lt;=1),0,Q73)+IF(OR(T73="LN",T73&lt;=1),0,T73)+IF(OR(W73="LN",W73&lt;=1),0,W73)+IF(OR(Z73="LN",Z73&lt;=1),0,Z73)+IF(OR(AC73="LN",AC73&lt;=1),0,AC73)+IF(OR(AF73="LN",AF73&lt;=1),0,AF73)+IF(OR(AI73="LN",AI73&lt;=1),0,AI73)+IF(OR(AL73="LN",AL73&lt;=1),0,AL73)+IF(OR(AO73="LN",AO73&lt;=1),0,AO73)+IF(OR(AR73="LN",AR73&lt;=1),0,AR73)+IF(OR(AU73="LN",AU73&lt;=1),0,AU73)+IF(OR(AX73="LN",AX73&lt;=1),0,AX73)+IF(OR(BA73="LN",BA73&lt;=1),0,BA73)+IF(OR(BD73="LN",BD73&lt;=1),0,BD73)+IF(OR(BG73="LN",BG73&lt;=1),0,BG73)+IF(OR(BJ73="LN",BJ73&lt;=1),0,BJ73)+IF(OR(BM73="LN",BM73&lt;=1),0,BM73)+IF(OR(BP73="LN",BP73&lt;=1),0,BP73)+IF(OR(BS73="LN",BS73&lt;=1),0,BS73)+IF(OR(BV73="LN",BV73&lt;=1),0,BV73)+IF(OR(BY73="LN",BY73&lt;=1),0,BY73)+IF(OR(CB73="LN",CB73&lt;=1),0,CB73)+IF(OR(CE73="LN",CE73&lt;=1),0,CE73)+IF(OR(CH73="LN",CH73&lt;=1),0,CH73)+IF(OR(CK73="LN",CK73&lt;=1),0,CK73)+IF(OR(CN73="LN",CN73&lt;=1),0,CN73)+IF(OR(CQ73="LN",CQ73&lt;=1),0,CQ73)+IF(OR(CT73="LN",CT73&lt;=1),0,CT73)+IF(OR(CW73="LN",CW73&lt;=1),0,CW73)+IF(OR(CZ73="LN",CZ73&lt;=1),0,CZ73)</f>
        <v>0</v>
      </c>
      <c r="F73" s="202">
        <f t="shared" ref="F73:F99" si="15">IF(OR(O73="TC",O73&lt;=1),0,O73)+IF(OR(R73="TC",R73&lt;=1),0,R73)+IF(OR(U73="TC",U73&lt;=1),0,U73)+IF(OR(X73="TC",X73&lt;=1),0,X73)+IF(OR(AA73="TC",AA73&lt;=1),0,AA73)+IF(OR(AD73="TC",AD73&lt;=1),0,AD73)+IF(OR(AG73="TC",AG73&lt;=1),0,AG73)+IF(OR(AJ73="TC",AJ73&lt;=1),0,AJ73)+IF(OR(AM73="TC",AM73&lt;=1),0,AM73)+IF(OR(AP73="TC",AP73&lt;=1),0,AP73)+IF(OR(AS73="TC",AS73&lt;=1),0,AS73)+IF(OR(AV73="TC",AV73&lt;=1),0,AV73)+IF(OR(AY73="TC",AY73&lt;=1),0,AY73)+IF(OR(BB73="TC",BB73&lt;=1),0,BB73)+IF(OR(BE73="TC",BE73&lt;=1),0,BE73)+IF(OR(BH73="TC",BH73&lt;=1),0,BH73)+IF(OR(BK73="TC",BK73&lt;=1),0,BK73)+IF(OR(BN73="TC",BN73&lt;=1),0,BN73)+IF(OR(BQ73="TC",BQ73&lt;=1),0,BQ73)+IF(OR(BT73="TC",BT73&lt;=1),0,BT73)+IF(OR(BW73="TC",BW73&lt;=1),0,BW73)+IF(OR(BZ73="TC",BZ73&lt;=1),0,BZ73)+IF(OR(CC73="TC",CC73&lt;=1),0,CC73)+IF(OR(CF73="TC",CF73&lt;=1),0,CF73)+IF(OR(CI73="TC",CI73&lt;=1),0,CI73)+IF(OR(CL73="TC",CL73&lt;=1),0,CL73)+IF(OR(CO73="TC",CO73&lt;=1),0,CO73)+IF(OR(CR73="TC",CR73&lt;=1),0,CR73)+IF(OR(CU73="TC",CU73&lt;=1),0,CU73)+IF(OR(CX73="TC",CX73&lt;=1),0,CX73)+IF(OR(DA73="TC",DA73&lt;=1),0,DA73)</f>
        <v>0</v>
      </c>
      <c r="G73" s="202">
        <f t="shared" ref="G73:G99" si="16">P73+S73+V73+Y73+AB73+AE73+AH73+AK73+AN73+AQ73+AT73+AW73+AZ73+BC73+BF73+BI73+BL73+BO73+BR73+BU73+BX73+CA73+CD73+CG73+CJ73+CM73+CP73+CS73+CV73+CY73+DB73</f>
        <v>0</v>
      </c>
      <c r="H73" s="203">
        <f t="shared" si="11"/>
        <v>0</v>
      </c>
      <c r="I73" s="204">
        <f t="shared" si="12"/>
        <v>0</v>
      </c>
      <c r="J73" s="203">
        <f t="shared" si="13"/>
        <v>0</v>
      </c>
      <c r="K73" s="205">
        <f t="shared" ref="K73:K99" si="17">IF(N73&gt;=5,1,0)+IF(Q73&gt;=5,1,0)+IF(T73&gt;=5,1,0)+IF(W73&gt;=5,1,0)+IF(Z73&gt;=5,1,0)+IF(AC73&gt;=5,1,0)+IF(AF73&gt;=5,1,0)+IF(AI73&gt;=5,1,0)+IF(AL73&gt;=5,1,0)+IF(AO73&gt;=5,1,0)+IF(AR73&gt;=5,1,0)+IF(AU73&gt;=5,1,0)+IF(AX73&gt;=5,1,0)+IF(BA73&gt;=5,1,0)+IF(BD73&gt;=5,1,0)+IF(BG73&gt;=5,1,0)+IF(BJ73&gt;=5,1,0)+IF(BM73&gt;=5,1,0)+IF(BP73&gt;=5,1,0)+IF(BS73&gt;=5,1,0)+IF(BV73&gt;=5,1,0)+IF(BY73&gt;=5,1,0)+IF(CB73&gt;=5,1,0)+IF(CE73&gt;=5,1,0)+IF(CH73&gt;=5,1,0)+IF(CK73&gt;=5,1,0)+IF(CN73&gt;=5,1,0)+IF(CQ73&gt;=5,1,0)+IF(CT73&gt;=5,1,0)+IF(CW73&gt;=5,1,0)+IF(CZ73&gt;=5,1,0)</f>
        <v>0</v>
      </c>
      <c r="L73" s="206">
        <f t="shared" ref="L73:L99" si="18">IF(O73&gt;=8,1,0)+IF(R73&gt;=8,1,0)+IF(U73&gt;=8,1,0)+IF(X73&gt;=8,1,0)+IF(AA73&gt;=8,1,0)+IF(AD73&gt;=8,1,0)+IF(AG73&gt;=8,1,0)+IF(AJ73&gt;=8,1,0)+IF(AM73&gt;=8,1,0)+IF(AP73&gt;=8,1,0)+IF(AS73&gt;=8,1,0)+IF(AV73&gt;=8,1,0)+IF(AY73&gt;=8,1,0)+IF(BB73&gt;=8,1,0)+IF(BE73&gt;=8,1,0)+IF(BH73&gt;=8,1,0)+IF(BK73&gt;=8,1,0)+IF(BN73&gt;=8,1,0)+IF(BQ73&gt;=8,1,0)+IF(BT73&gt;=8,1,0)+IF(BW73&gt;=8,1,0)+IF(BZ73&gt;=8,1,0)+IF(CC73&gt;=8,1,0)+IF(CF73&gt;=8,1,0)+IF(CI73&gt;=8,1,0)+IF(CL73&gt;=8,1,0)+IF(CO73&gt;=8,1,0)+IF(CR73&gt;=8,1,0)+IF(CU73&gt;=8,1,0)+IF(CX73&gt;=8,1,0)+IF(DA73&gt;=8,1,0)</f>
        <v>0</v>
      </c>
      <c r="M73" s="207">
        <f t="shared" ref="M73:M99" si="19">COUNTIF(N73:DB73,8)+COUNTIF(N73:DB73,8.25)+COUNTIF(N73:DB73,8.5)+COUNTIF(N73:DB73,8.75)+COUNTIF(N73:DB73,9)+COUNTIF(N73:DB73,9.25)+COUNTIF(N73:DB73,9.5)+COUNTIF(N73:DB73,9.75)+COUNTIF(N73:DB73,10)+COUNTIF(N73:DB73,10.25)+COUNTIF(N73:DB73,10.5)+COUNTIF(N73:DB73,10.75)+COUNTIF(N73:DB73,11)+COUNTIF(N73:DB73,11.25)+COUNTIF(N73:DB73,11.5)+COUNTIF(N73:DB73,11.75)+COUNTIF(N73:DB73,12)</f>
        <v>0</v>
      </c>
      <c r="N73" s="163"/>
      <c r="O73" s="164"/>
      <c r="P73" s="165"/>
      <c r="Q73" s="166"/>
      <c r="R73" s="167"/>
      <c r="S73" s="168"/>
      <c r="T73" s="163"/>
      <c r="U73" s="164"/>
      <c r="V73" s="165"/>
      <c r="W73" s="166"/>
      <c r="X73" s="167"/>
      <c r="Y73" s="168"/>
      <c r="Z73" s="163"/>
      <c r="AA73" s="164"/>
      <c r="AB73" s="165"/>
      <c r="AC73" s="166"/>
      <c r="AD73" s="167"/>
      <c r="AE73" s="168"/>
      <c r="AF73" s="163"/>
      <c r="AG73" s="164"/>
      <c r="AH73" s="165"/>
      <c r="AI73" s="166"/>
      <c r="AJ73" s="167"/>
      <c r="AK73" s="168"/>
      <c r="AL73" s="163"/>
      <c r="AM73" s="164"/>
      <c r="AN73" s="165"/>
      <c r="AO73" s="166"/>
      <c r="AP73" s="167"/>
      <c r="AQ73" s="168"/>
      <c r="AR73" s="163"/>
      <c r="AS73" s="164"/>
      <c r="AT73" s="165"/>
      <c r="AU73" s="166"/>
      <c r="AV73" s="167"/>
      <c r="AW73" s="168"/>
      <c r="AX73" s="163"/>
      <c r="AY73" s="164"/>
      <c r="AZ73" s="165"/>
      <c r="BA73" s="166"/>
      <c r="BB73" s="167"/>
      <c r="BC73" s="168"/>
      <c r="BD73" s="163"/>
      <c r="BE73" s="164"/>
      <c r="BF73" s="165"/>
      <c r="BG73" s="166"/>
      <c r="BH73" s="167"/>
      <c r="BI73" s="168"/>
      <c r="BJ73" s="163"/>
      <c r="BK73" s="164"/>
      <c r="BL73" s="165"/>
      <c r="BM73" s="166"/>
      <c r="BN73" s="167"/>
      <c r="BO73" s="168"/>
      <c r="BP73" s="163"/>
      <c r="BQ73" s="164"/>
      <c r="BR73" s="165"/>
      <c r="BS73" s="166"/>
      <c r="BT73" s="167"/>
      <c r="BU73" s="168"/>
      <c r="BV73" s="163"/>
      <c r="BW73" s="164"/>
      <c r="BX73" s="165"/>
      <c r="BY73" s="166"/>
      <c r="BZ73" s="167"/>
      <c r="CA73" s="168"/>
      <c r="CB73" s="163"/>
      <c r="CC73" s="164"/>
      <c r="CD73" s="165"/>
      <c r="CE73" s="166"/>
      <c r="CF73" s="167"/>
      <c r="CG73" s="168"/>
      <c r="CH73" s="163"/>
      <c r="CI73" s="164"/>
      <c r="CJ73" s="165"/>
      <c r="CK73" s="166"/>
      <c r="CL73" s="167"/>
      <c r="CM73" s="168"/>
      <c r="CN73" s="163"/>
      <c r="CO73" s="164"/>
      <c r="CP73" s="165"/>
      <c r="CQ73" s="166"/>
      <c r="CR73" s="167"/>
      <c r="CS73" s="168"/>
      <c r="CT73" s="163"/>
      <c r="CU73" s="164"/>
      <c r="CV73" s="165"/>
      <c r="CW73" s="166"/>
      <c r="CX73" s="167"/>
      <c r="CY73" s="168"/>
      <c r="CZ73" s="163"/>
      <c r="DA73" s="164"/>
      <c r="DB73" s="165"/>
      <c r="DC73" s="174"/>
      <c r="DD73" s="174"/>
      <c r="DE73" s="170"/>
      <c r="DF73" s="171"/>
      <c r="DG73" s="170"/>
      <c r="DH73" s="170"/>
    </row>
    <row r="74" spans="1:112" ht="24.75" customHeight="1">
      <c r="A74" s="200">
        <f>'Danh muc'!A74</f>
        <v>0</v>
      </c>
      <c r="B74" s="201">
        <f>'Danh muc'!B74</f>
        <v>0</v>
      </c>
      <c r="C74" s="259">
        <f>'Danh muc'!C74</f>
        <v>0</v>
      </c>
      <c r="D74" s="201">
        <f>'Danh muc'!E74</f>
        <v>0</v>
      </c>
      <c r="E74" s="202">
        <f t="shared" si="14"/>
        <v>0</v>
      </c>
      <c r="F74" s="202">
        <f t="shared" si="15"/>
        <v>0</v>
      </c>
      <c r="G74" s="202">
        <f t="shared" si="16"/>
        <v>0</v>
      </c>
      <c r="H74" s="203">
        <f t="shared" si="11"/>
        <v>0</v>
      </c>
      <c r="I74" s="204">
        <f t="shared" si="12"/>
        <v>0</v>
      </c>
      <c r="J74" s="203">
        <f t="shared" si="13"/>
        <v>0</v>
      </c>
      <c r="K74" s="205">
        <f t="shared" si="17"/>
        <v>0</v>
      </c>
      <c r="L74" s="206">
        <f t="shared" si="18"/>
        <v>0</v>
      </c>
      <c r="M74" s="207">
        <f t="shared" si="19"/>
        <v>0</v>
      </c>
      <c r="N74" s="163"/>
      <c r="O74" s="164"/>
      <c r="P74" s="165"/>
      <c r="Q74" s="166"/>
      <c r="R74" s="167"/>
      <c r="S74" s="168"/>
      <c r="T74" s="163"/>
      <c r="U74" s="164"/>
      <c r="V74" s="165"/>
      <c r="W74" s="166"/>
      <c r="X74" s="167"/>
      <c r="Y74" s="168"/>
      <c r="Z74" s="163"/>
      <c r="AA74" s="164"/>
      <c r="AB74" s="165"/>
      <c r="AC74" s="166"/>
      <c r="AD74" s="167"/>
      <c r="AE74" s="168"/>
      <c r="AF74" s="163"/>
      <c r="AG74" s="164"/>
      <c r="AH74" s="165"/>
      <c r="AI74" s="166"/>
      <c r="AJ74" s="167"/>
      <c r="AK74" s="168"/>
      <c r="AL74" s="163"/>
      <c r="AM74" s="164"/>
      <c r="AN74" s="165"/>
      <c r="AO74" s="166"/>
      <c r="AP74" s="167"/>
      <c r="AQ74" s="168"/>
      <c r="AR74" s="163"/>
      <c r="AS74" s="164"/>
      <c r="AT74" s="165"/>
      <c r="AU74" s="166"/>
      <c r="AV74" s="167"/>
      <c r="AW74" s="168"/>
      <c r="AX74" s="163"/>
      <c r="AY74" s="164"/>
      <c r="AZ74" s="165"/>
      <c r="BA74" s="166"/>
      <c r="BB74" s="167"/>
      <c r="BC74" s="168"/>
      <c r="BD74" s="163"/>
      <c r="BE74" s="164"/>
      <c r="BF74" s="165"/>
      <c r="BG74" s="166"/>
      <c r="BH74" s="167"/>
      <c r="BI74" s="168"/>
      <c r="BJ74" s="163"/>
      <c r="BK74" s="164"/>
      <c r="BL74" s="165"/>
      <c r="BM74" s="166"/>
      <c r="BN74" s="167"/>
      <c r="BO74" s="168"/>
      <c r="BP74" s="163"/>
      <c r="BQ74" s="164"/>
      <c r="BR74" s="165"/>
      <c r="BS74" s="166"/>
      <c r="BT74" s="167"/>
      <c r="BU74" s="168"/>
      <c r="BV74" s="163"/>
      <c r="BW74" s="164"/>
      <c r="BX74" s="165"/>
      <c r="BY74" s="166"/>
      <c r="BZ74" s="167"/>
      <c r="CA74" s="168"/>
      <c r="CB74" s="163"/>
      <c r="CC74" s="164"/>
      <c r="CD74" s="165"/>
      <c r="CE74" s="166"/>
      <c r="CF74" s="167"/>
      <c r="CG74" s="168"/>
      <c r="CH74" s="163"/>
      <c r="CI74" s="164"/>
      <c r="CJ74" s="165"/>
      <c r="CK74" s="166"/>
      <c r="CL74" s="167"/>
      <c r="CM74" s="168"/>
      <c r="CN74" s="163"/>
      <c r="CO74" s="164"/>
      <c r="CP74" s="165"/>
      <c r="CQ74" s="166"/>
      <c r="CR74" s="167"/>
      <c r="CS74" s="168"/>
      <c r="CT74" s="163"/>
      <c r="CU74" s="164"/>
      <c r="CV74" s="165"/>
      <c r="CW74" s="166"/>
      <c r="CX74" s="167"/>
      <c r="CY74" s="168"/>
      <c r="CZ74" s="163"/>
      <c r="DA74" s="164"/>
      <c r="DB74" s="165"/>
      <c r="DC74" s="174"/>
      <c r="DD74" s="174"/>
      <c r="DE74" s="170"/>
      <c r="DF74" s="171"/>
      <c r="DG74" s="170"/>
      <c r="DH74" s="170"/>
    </row>
    <row r="75" spans="1:112" ht="24.75" customHeight="1">
      <c r="A75" s="200">
        <f>'Danh muc'!A75</f>
        <v>0</v>
      </c>
      <c r="B75" s="201">
        <f>'Danh muc'!B75</f>
        <v>0</v>
      </c>
      <c r="C75" s="259">
        <f>'Danh muc'!C75</f>
        <v>0</v>
      </c>
      <c r="D75" s="201">
        <f>'Danh muc'!E75</f>
        <v>0</v>
      </c>
      <c r="E75" s="202">
        <f t="shared" si="14"/>
        <v>0</v>
      </c>
      <c r="F75" s="202">
        <f t="shared" si="15"/>
        <v>0</v>
      </c>
      <c r="G75" s="202">
        <f t="shared" si="16"/>
        <v>0</v>
      </c>
      <c r="H75" s="203">
        <f t="shared" si="11"/>
        <v>0</v>
      </c>
      <c r="I75" s="204">
        <f t="shared" si="12"/>
        <v>0</v>
      </c>
      <c r="J75" s="203">
        <f t="shared" si="13"/>
        <v>0</v>
      </c>
      <c r="K75" s="205">
        <f t="shared" si="17"/>
        <v>0</v>
      </c>
      <c r="L75" s="206">
        <f t="shared" si="18"/>
        <v>0</v>
      </c>
      <c r="M75" s="207">
        <f t="shared" si="19"/>
        <v>0</v>
      </c>
      <c r="N75" s="163"/>
      <c r="O75" s="164"/>
      <c r="P75" s="165"/>
      <c r="Q75" s="166"/>
      <c r="R75" s="167"/>
      <c r="S75" s="168"/>
      <c r="T75" s="163"/>
      <c r="U75" s="164"/>
      <c r="V75" s="165"/>
      <c r="W75" s="166"/>
      <c r="X75" s="167"/>
      <c r="Y75" s="168"/>
      <c r="Z75" s="163"/>
      <c r="AA75" s="164"/>
      <c r="AB75" s="165"/>
      <c r="AC75" s="166"/>
      <c r="AD75" s="167"/>
      <c r="AE75" s="168"/>
      <c r="AF75" s="163"/>
      <c r="AG75" s="164"/>
      <c r="AH75" s="165"/>
      <c r="AI75" s="166"/>
      <c r="AJ75" s="167"/>
      <c r="AK75" s="168"/>
      <c r="AL75" s="163"/>
      <c r="AM75" s="164"/>
      <c r="AN75" s="165"/>
      <c r="AO75" s="166"/>
      <c r="AP75" s="167"/>
      <c r="AQ75" s="168"/>
      <c r="AR75" s="163"/>
      <c r="AS75" s="164"/>
      <c r="AT75" s="165"/>
      <c r="AU75" s="166"/>
      <c r="AV75" s="167"/>
      <c r="AW75" s="168"/>
      <c r="AX75" s="163"/>
      <c r="AY75" s="164"/>
      <c r="AZ75" s="165"/>
      <c r="BA75" s="166"/>
      <c r="BB75" s="167"/>
      <c r="BC75" s="168"/>
      <c r="BD75" s="163"/>
      <c r="BE75" s="164"/>
      <c r="BF75" s="165"/>
      <c r="BG75" s="166"/>
      <c r="BH75" s="167"/>
      <c r="BI75" s="168"/>
      <c r="BJ75" s="163"/>
      <c r="BK75" s="164"/>
      <c r="BL75" s="165"/>
      <c r="BM75" s="166"/>
      <c r="BN75" s="167"/>
      <c r="BO75" s="168"/>
      <c r="BP75" s="163"/>
      <c r="BQ75" s="164"/>
      <c r="BR75" s="165"/>
      <c r="BS75" s="166"/>
      <c r="BT75" s="167"/>
      <c r="BU75" s="168"/>
      <c r="BV75" s="163"/>
      <c r="BW75" s="164"/>
      <c r="BX75" s="165"/>
      <c r="BY75" s="166"/>
      <c r="BZ75" s="167"/>
      <c r="CA75" s="168"/>
      <c r="CB75" s="163"/>
      <c r="CC75" s="164"/>
      <c r="CD75" s="165"/>
      <c r="CE75" s="166"/>
      <c r="CF75" s="167"/>
      <c r="CG75" s="168"/>
      <c r="CH75" s="163"/>
      <c r="CI75" s="164"/>
      <c r="CJ75" s="165"/>
      <c r="CK75" s="166"/>
      <c r="CL75" s="167"/>
      <c r="CM75" s="168"/>
      <c r="CN75" s="163"/>
      <c r="CO75" s="164"/>
      <c r="CP75" s="165"/>
      <c r="CQ75" s="166"/>
      <c r="CR75" s="167"/>
      <c r="CS75" s="168"/>
      <c r="CT75" s="163"/>
      <c r="CU75" s="164"/>
      <c r="CV75" s="165"/>
      <c r="CW75" s="166"/>
      <c r="CX75" s="167"/>
      <c r="CY75" s="168"/>
      <c r="CZ75" s="163"/>
      <c r="DA75" s="164"/>
      <c r="DB75" s="165"/>
      <c r="DC75" s="174"/>
      <c r="DD75" s="174"/>
      <c r="DE75" s="170"/>
      <c r="DF75" s="171"/>
      <c r="DG75" s="170"/>
      <c r="DH75" s="170"/>
    </row>
    <row r="76" spans="1:112" ht="24.75" customHeight="1">
      <c r="A76" s="200">
        <f>'Danh muc'!A76</f>
        <v>0</v>
      </c>
      <c r="B76" s="201">
        <f>'Danh muc'!B76</f>
        <v>0</v>
      </c>
      <c r="C76" s="259">
        <f>'Danh muc'!C76</f>
        <v>0</v>
      </c>
      <c r="D76" s="201">
        <f>'Danh muc'!E76</f>
        <v>0</v>
      </c>
      <c r="E76" s="202">
        <f t="shared" si="14"/>
        <v>0</v>
      </c>
      <c r="F76" s="202">
        <f t="shared" si="15"/>
        <v>0</v>
      </c>
      <c r="G76" s="202">
        <f t="shared" si="16"/>
        <v>0</v>
      </c>
      <c r="H76" s="203">
        <f t="shared" si="11"/>
        <v>0</v>
      </c>
      <c r="I76" s="204">
        <f t="shared" si="12"/>
        <v>0</v>
      </c>
      <c r="J76" s="203">
        <f t="shared" si="13"/>
        <v>0</v>
      </c>
      <c r="K76" s="205">
        <f t="shared" si="17"/>
        <v>0</v>
      </c>
      <c r="L76" s="206">
        <f t="shared" si="18"/>
        <v>0</v>
      </c>
      <c r="M76" s="207">
        <f t="shared" si="19"/>
        <v>0</v>
      </c>
      <c r="N76" s="163"/>
      <c r="O76" s="164"/>
      <c r="P76" s="165"/>
      <c r="Q76" s="166"/>
      <c r="R76" s="167"/>
      <c r="S76" s="168"/>
      <c r="T76" s="163"/>
      <c r="U76" s="164"/>
      <c r="V76" s="165"/>
      <c r="W76" s="166"/>
      <c r="X76" s="167"/>
      <c r="Y76" s="168"/>
      <c r="Z76" s="163"/>
      <c r="AA76" s="164"/>
      <c r="AB76" s="165"/>
      <c r="AC76" s="166"/>
      <c r="AD76" s="167"/>
      <c r="AE76" s="168"/>
      <c r="AF76" s="163"/>
      <c r="AG76" s="164"/>
      <c r="AH76" s="165"/>
      <c r="AI76" s="166"/>
      <c r="AJ76" s="167"/>
      <c r="AK76" s="168"/>
      <c r="AL76" s="163"/>
      <c r="AM76" s="164"/>
      <c r="AN76" s="165"/>
      <c r="AO76" s="166"/>
      <c r="AP76" s="167"/>
      <c r="AQ76" s="168"/>
      <c r="AR76" s="163"/>
      <c r="AS76" s="164"/>
      <c r="AT76" s="165"/>
      <c r="AU76" s="166"/>
      <c r="AV76" s="167"/>
      <c r="AW76" s="168"/>
      <c r="AX76" s="163"/>
      <c r="AY76" s="164"/>
      <c r="AZ76" s="165"/>
      <c r="BA76" s="166"/>
      <c r="BB76" s="167"/>
      <c r="BC76" s="168"/>
      <c r="BD76" s="163"/>
      <c r="BE76" s="164"/>
      <c r="BF76" s="165"/>
      <c r="BG76" s="166"/>
      <c r="BH76" s="167"/>
      <c r="BI76" s="168"/>
      <c r="BJ76" s="163"/>
      <c r="BK76" s="164"/>
      <c r="BL76" s="165"/>
      <c r="BM76" s="166"/>
      <c r="BN76" s="167"/>
      <c r="BO76" s="168"/>
      <c r="BP76" s="163"/>
      <c r="BQ76" s="164"/>
      <c r="BR76" s="165"/>
      <c r="BS76" s="166"/>
      <c r="BT76" s="167"/>
      <c r="BU76" s="168"/>
      <c r="BV76" s="163"/>
      <c r="BW76" s="164"/>
      <c r="BX76" s="165"/>
      <c r="BY76" s="166"/>
      <c r="BZ76" s="167"/>
      <c r="CA76" s="168"/>
      <c r="CB76" s="163"/>
      <c r="CC76" s="164"/>
      <c r="CD76" s="165"/>
      <c r="CE76" s="166"/>
      <c r="CF76" s="167"/>
      <c r="CG76" s="168"/>
      <c r="CH76" s="163"/>
      <c r="CI76" s="164"/>
      <c r="CJ76" s="165"/>
      <c r="CK76" s="166"/>
      <c r="CL76" s="167"/>
      <c r="CM76" s="168"/>
      <c r="CN76" s="163"/>
      <c r="CO76" s="164"/>
      <c r="CP76" s="165"/>
      <c r="CQ76" s="166"/>
      <c r="CR76" s="167"/>
      <c r="CS76" s="168"/>
      <c r="CT76" s="163"/>
      <c r="CU76" s="164"/>
      <c r="CV76" s="165"/>
      <c r="CW76" s="166"/>
      <c r="CX76" s="167"/>
      <c r="CY76" s="168"/>
      <c r="CZ76" s="163"/>
      <c r="DA76" s="164"/>
      <c r="DB76" s="165"/>
      <c r="DC76" s="174"/>
      <c r="DD76" s="174"/>
      <c r="DE76" s="170"/>
      <c r="DF76" s="171"/>
      <c r="DG76" s="170"/>
      <c r="DH76" s="170"/>
    </row>
    <row r="77" spans="1:112" ht="24.75" customHeight="1">
      <c r="A77" s="200">
        <f>'Danh muc'!A77</f>
        <v>0</v>
      </c>
      <c r="B77" s="201">
        <f>'Danh muc'!B77</f>
        <v>0</v>
      </c>
      <c r="C77" s="259">
        <f>'Danh muc'!C77</f>
        <v>0</v>
      </c>
      <c r="D77" s="201">
        <f>'Danh muc'!E77</f>
        <v>0</v>
      </c>
      <c r="E77" s="202">
        <f t="shared" si="14"/>
        <v>0</v>
      </c>
      <c r="F77" s="202">
        <f t="shared" si="15"/>
        <v>0</v>
      </c>
      <c r="G77" s="202">
        <f t="shared" si="16"/>
        <v>0</v>
      </c>
      <c r="H77" s="203">
        <f t="shared" si="11"/>
        <v>0</v>
      </c>
      <c r="I77" s="204">
        <f t="shared" si="12"/>
        <v>0</v>
      </c>
      <c r="J77" s="203">
        <f t="shared" si="13"/>
        <v>0</v>
      </c>
      <c r="K77" s="205">
        <f t="shared" si="17"/>
        <v>0</v>
      </c>
      <c r="L77" s="206">
        <f t="shared" si="18"/>
        <v>0</v>
      </c>
      <c r="M77" s="207">
        <f t="shared" si="19"/>
        <v>0</v>
      </c>
      <c r="N77" s="163"/>
      <c r="O77" s="164"/>
      <c r="P77" s="165"/>
      <c r="Q77" s="166"/>
      <c r="R77" s="167"/>
      <c r="S77" s="168"/>
      <c r="T77" s="163"/>
      <c r="U77" s="164"/>
      <c r="V77" s="165"/>
      <c r="W77" s="166"/>
      <c r="X77" s="167"/>
      <c r="Y77" s="168"/>
      <c r="Z77" s="163"/>
      <c r="AA77" s="164"/>
      <c r="AB77" s="165"/>
      <c r="AC77" s="166"/>
      <c r="AD77" s="167"/>
      <c r="AE77" s="168"/>
      <c r="AF77" s="163"/>
      <c r="AG77" s="164"/>
      <c r="AH77" s="165"/>
      <c r="AI77" s="166"/>
      <c r="AJ77" s="167"/>
      <c r="AK77" s="168"/>
      <c r="AL77" s="163"/>
      <c r="AM77" s="164"/>
      <c r="AN77" s="165"/>
      <c r="AO77" s="166"/>
      <c r="AP77" s="167"/>
      <c r="AQ77" s="168"/>
      <c r="AR77" s="163"/>
      <c r="AS77" s="164"/>
      <c r="AT77" s="165"/>
      <c r="AU77" s="166"/>
      <c r="AV77" s="167"/>
      <c r="AW77" s="168"/>
      <c r="AX77" s="163"/>
      <c r="AY77" s="164"/>
      <c r="AZ77" s="165"/>
      <c r="BA77" s="166"/>
      <c r="BB77" s="167"/>
      <c r="BC77" s="168"/>
      <c r="BD77" s="163"/>
      <c r="BE77" s="164"/>
      <c r="BF77" s="165"/>
      <c r="BG77" s="166"/>
      <c r="BH77" s="167"/>
      <c r="BI77" s="168"/>
      <c r="BJ77" s="163"/>
      <c r="BK77" s="164"/>
      <c r="BL77" s="165"/>
      <c r="BM77" s="166"/>
      <c r="BN77" s="167"/>
      <c r="BO77" s="168"/>
      <c r="BP77" s="163"/>
      <c r="BQ77" s="164"/>
      <c r="BR77" s="165"/>
      <c r="BS77" s="166"/>
      <c r="BT77" s="167"/>
      <c r="BU77" s="168"/>
      <c r="BV77" s="163"/>
      <c r="BW77" s="164"/>
      <c r="BX77" s="165"/>
      <c r="BY77" s="166"/>
      <c r="BZ77" s="167"/>
      <c r="CA77" s="168"/>
      <c r="CB77" s="163"/>
      <c r="CC77" s="164"/>
      <c r="CD77" s="165"/>
      <c r="CE77" s="166"/>
      <c r="CF77" s="167"/>
      <c r="CG77" s="168"/>
      <c r="CH77" s="163"/>
      <c r="CI77" s="164"/>
      <c r="CJ77" s="165"/>
      <c r="CK77" s="166"/>
      <c r="CL77" s="167"/>
      <c r="CM77" s="168"/>
      <c r="CN77" s="163"/>
      <c r="CO77" s="164"/>
      <c r="CP77" s="165"/>
      <c r="CQ77" s="166"/>
      <c r="CR77" s="167"/>
      <c r="CS77" s="168"/>
      <c r="CT77" s="163"/>
      <c r="CU77" s="164"/>
      <c r="CV77" s="165"/>
      <c r="CW77" s="166"/>
      <c r="CX77" s="167"/>
      <c r="CY77" s="168"/>
      <c r="CZ77" s="163"/>
      <c r="DA77" s="164"/>
      <c r="DB77" s="165"/>
      <c r="DC77" s="174"/>
      <c r="DD77" s="174"/>
      <c r="DE77" s="170"/>
      <c r="DF77" s="171"/>
      <c r="DG77" s="170"/>
      <c r="DH77" s="170"/>
    </row>
    <row r="78" spans="1:112" ht="24.75" customHeight="1">
      <c r="A78" s="200">
        <f>'Danh muc'!A78</f>
        <v>0</v>
      </c>
      <c r="B78" s="201">
        <f>'Danh muc'!B78</f>
        <v>0</v>
      </c>
      <c r="C78" s="259">
        <f>'Danh muc'!C78</f>
        <v>0</v>
      </c>
      <c r="D78" s="201">
        <f>'Danh muc'!E78</f>
        <v>0</v>
      </c>
      <c r="E78" s="202">
        <f t="shared" si="14"/>
        <v>0</v>
      </c>
      <c r="F78" s="202">
        <f t="shared" si="15"/>
        <v>0</v>
      </c>
      <c r="G78" s="202">
        <f t="shared" si="16"/>
        <v>0</v>
      </c>
      <c r="H78" s="203">
        <f t="shared" si="11"/>
        <v>0</v>
      </c>
      <c r="I78" s="204">
        <f t="shared" si="12"/>
        <v>0</v>
      </c>
      <c r="J78" s="203">
        <f t="shared" si="13"/>
        <v>0</v>
      </c>
      <c r="K78" s="205">
        <f t="shared" si="17"/>
        <v>0</v>
      </c>
      <c r="L78" s="206">
        <f t="shared" si="18"/>
        <v>0</v>
      </c>
      <c r="M78" s="207">
        <f t="shared" si="19"/>
        <v>0</v>
      </c>
      <c r="N78" s="163"/>
      <c r="O78" s="164"/>
      <c r="P78" s="165"/>
      <c r="Q78" s="166"/>
      <c r="R78" s="167"/>
      <c r="S78" s="168"/>
      <c r="T78" s="163"/>
      <c r="U78" s="164"/>
      <c r="V78" s="165"/>
      <c r="W78" s="166"/>
      <c r="X78" s="167"/>
      <c r="Y78" s="168"/>
      <c r="Z78" s="163"/>
      <c r="AA78" s="164"/>
      <c r="AB78" s="165"/>
      <c r="AC78" s="166"/>
      <c r="AD78" s="167"/>
      <c r="AE78" s="168"/>
      <c r="AF78" s="163"/>
      <c r="AG78" s="164"/>
      <c r="AH78" s="165"/>
      <c r="AI78" s="166"/>
      <c r="AJ78" s="167"/>
      <c r="AK78" s="168"/>
      <c r="AL78" s="163"/>
      <c r="AM78" s="164"/>
      <c r="AN78" s="165"/>
      <c r="AO78" s="166"/>
      <c r="AP78" s="167"/>
      <c r="AQ78" s="168"/>
      <c r="AR78" s="163"/>
      <c r="AS78" s="164"/>
      <c r="AT78" s="165"/>
      <c r="AU78" s="166"/>
      <c r="AV78" s="167"/>
      <c r="AW78" s="168"/>
      <c r="AX78" s="163"/>
      <c r="AY78" s="164"/>
      <c r="AZ78" s="165"/>
      <c r="BA78" s="166"/>
      <c r="BB78" s="167"/>
      <c r="BC78" s="168"/>
      <c r="BD78" s="163"/>
      <c r="BE78" s="164"/>
      <c r="BF78" s="165"/>
      <c r="BG78" s="166"/>
      <c r="BH78" s="167"/>
      <c r="BI78" s="168"/>
      <c r="BJ78" s="163"/>
      <c r="BK78" s="164"/>
      <c r="BL78" s="165"/>
      <c r="BM78" s="166"/>
      <c r="BN78" s="167"/>
      <c r="BO78" s="168"/>
      <c r="BP78" s="163"/>
      <c r="BQ78" s="164"/>
      <c r="BR78" s="165"/>
      <c r="BS78" s="166"/>
      <c r="BT78" s="167"/>
      <c r="BU78" s="168"/>
      <c r="BV78" s="163"/>
      <c r="BW78" s="164"/>
      <c r="BX78" s="165"/>
      <c r="BY78" s="166"/>
      <c r="BZ78" s="167"/>
      <c r="CA78" s="168"/>
      <c r="CB78" s="163"/>
      <c r="CC78" s="164"/>
      <c r="CD78" s="165"/>
      <c r="CE78" s="166"/>
      <c r="CF78" s="167"/>
      <c r="CG78" s="168"/>
      <c r="CH78" s="163"/>
      <c r="CI78" s="164"/>
      <c r="CJ78" s="165"/>
      <c r="CK78" s="166"/>
      <c r="CL78" s="167"/>
      <c r="CM78" s="168"/>
      <c r="CN78" s="163"/>
      <c r="CO78" s="164"/>
      <c r="CP78" s="165"/>
      <c r="CQ78" s="166"/>
      <c r="CR78" s="167"/>
      <c r="CS78" s="168"/>
      <c r="CT78" s="163"/>
      <c r="CU78" s="164"/>
      <c r="CV78" s="165"/>
      <c r="CW78" s="166"/>
      <c r="CX78" s="167"/>
      <c r="CY78" s="168"/>
      <c r="CZ78" s="163"/>
      <c r="DA78" s="164"/>
      <c r="DB78" s="165"/>
      <c r="DC78" s="174"/>
      <c r="DD78" s="174"/>
      <c r="DE78" s="170"/>
      <c r="DF78" s="171"/>
      <c r="DG78" s="170"/>
      <c r="DH78" s="170"/>
    </row>
    <row r="79" spans="1:112" ht="24.75" customHeight="1">
      <c r="A79" s="200">
        <f>'Danh muc'!A79</f>
        <v>0</v>
      </c>
      <c r="B79" s="201">
        <f>'Danh muc'!B79</f>
        <v>0</v>
      </c>
      <c r="C79" s="259">
        <f>'Danh muc'!C79</f>
        <v>0</v>
      </c>
      <c r="D79" s="201">
        <f>'Danh muc'!E79</f>
        <v>0</v>
      </c>
      <c r="E79" s="202">
        <f t="shared" si="14"/>
        <v>0</v>
      </c>
      <c r="F79" s="202">
        <f t="shared" si="15"/>
        <v>0</v>
      </c>
      <c r="G79" s="202">
        <f t="shared" si="16"/>
        <v>0</v>
      </c>
      <c r="H79" s="203">
        <f t="shared" si="11"/>
        <v>0</v>
      </c>
      <c r="I79" s="204">
        <f t="shared" si="12"/>
        <v>0</v>
      </c>
      <c r="J79" s="203">
        <f t="shared" si="13"/>
        <v>0</v>
      </c>
      <c r="K79" s="205">
        <f t="shared" si="17"/>
        <v>0</v>
      </c>
      <c r="L79" s="206">
        <f t="shared" si="18"/>
        <v>0</v>
      </c>
      <c r="M79" s="207">
        <f t="shared" si="19"/>
        <v>0</v>
      </c>
      <c r="N79" s="163"/>
      <c r="O79" s="164"/>
      <c r="P79" s="165"/>
      <c r="Q79" s="166"/>
      <c r="R79" s="167"/>
      <c r="S79" s="168"/>
      <c r="T79" s="163"/>
      <c r="U79" s="164"/>
      <c r="V79" s="165"/>
      <c r="W79" s="166"/>
      <c r="X79" s="167"/>
      <c r="Y79" s="168"/>
      <c r="Z79" s="163"/>
      <c r="AA79" s="164"/>
      <c r="AB79" s="165"/>
      <c r="AC79" s="166"/>
      <c r="AD79" s="167"/>
      <c r="AE79" s="168"/>
      <c r="AF79" s="163"/>
      <c r="AG79" s="164"/>
      <c r="AH79" s="165"/>
      <c r="AI79" s="166"/>
      <c r="AJ79" s="167"/>
      <c r="AK79" s="168"/>
      <c r="AL79" s="163"/>
      <c r="AM79" s="164"/>
      <c r="AN79" s="165"/>
      <c r="AO79" s="166"/>
      <c r="AP79" s="167"/>
      <c r="AQ79" s="168"/>
      <c r="AR79" s="163"/>
      <c r="AS79" s="164"/>
      <c r="AT79" s="165"/>
      <c r="AU79" s="166"/>
      <c r="AV79" s="167"/>
      <c r="AW79" s="168"/>
      <c r="AX79" s="163"/>
      <c r="AY79" s="164"/>
      <c r="AZ79" s="165"/>
      <c r="BA79" s="166"/>
      <c r="BB79" s="167"/>
      <c r="BC79" s="168"/>
      <c r="BD79" s="163"/>
      <c r="BE79" s="164"/>
      <c r="BF79" s="165"/>
      <c r="BG79" s="166"/>
      <c r="BH79" s="167"/>
      <c r="BI79" s="168"/>
      <c r="BJ79" s="163"/>
      <c r="BK79" s="164"/>
      <c r="BL79" s="165"/>
      <c r="BM79" s="166"/>
      <c r="BN79" s="167"/>
      <c r="BO79" s="168"/>
      <c r="BP79" s="163"/>
      <c r="BQ79" s="164"/>
      <c r="BR79" s="165"/>
      <c r="BS79" s="166"/>
      <c r="BT79" s="167"/>
      <c r="BU79" s="168"/>
      <c r="BV79" s="163"/>
      <c r="BW79" s="164"/>
      <c r="BX79" s="165"/>
      <c r="BY79" s="166"/>
      <c r="BZ79" s="167"/>
      <c r="CA79" s="168"/>
      <c r="CB79" s="163"/>
      <c r="CC79" s="164"/>
      <c r="CD79" s="165"/>
      <c r="CE79" s="166"/>
      <c r="CF79" s="167"/>
      <c r="CG79" s="168"/>
      <c r="CH79" s="163"/>
      <c r="CI79" s="164"/>
      <c r="CJ79" s="165"/>
      <c r="CK79" s="166"/>
      <c r="CL79" s="167"/>
      <c r="CM79" s="168"/>
      <c r="CN79" s="163"/>
      <c r="CO79" s="164"/>
      <c r="CP79" s="165"/>
      <c r="CQ79" s="166"/>
      <c r="CR79" s="167"/>
      <c r="CS79" s="168"/>
      <c r="CT79" s="163"/>
      <c r="CU79" s="164"/>
      <c r="CV79" s="165"/>
      <c r="CW79" s="166"/>
      <c r="CX79" s="167"/>
      <c r="CY79" s="168"/>
      <c r="CZ79" s="163"/>
      <c r="DA79" s="164"/>
      <c r="DB79" s="165"/>
      <c r="DC79" s="174"/>
      <c r="DD79" s="174"/>
      <c r="DE79" s="170"/>
      <c r="DF79" s="171"/>
      <c r="DG79" s="170"/>
      <c r="DH79" s="170"/>
    </row>
    <row r="80" spans="1:112" ht="24.75" customHeight="1">
      <c r="A80" s="200">
        <f>'Danh muc'!A80</f>
        <v>0</v>
      </c>
      <c r="B80" s="201">
        <f>'Danh muc'!B80</f>
        <v>0</v>
      </c>
      <c r="C80" s="259">
        <f>'Danh muc'!C80</f>
        <v>0</v>
      </c>
      <c r="D80" s="201">
        <f>'Danh muc'!E80</f>
        <v>0</v>
      </c>
      <c r="E80" s="202">
        <f t="shared" si="14"/>
        <v>0</v>
      </c>
      <c r="F80" s="202">
        <f t="shared" si="15"/>
        <v>0</v>
      </c>
      <c r="G80" s="202">
        <f t="shared" si="16"/>
        <v>0</v>
      </c>
      <c r="H80" s="203">
        <f t="shared" si="11"/>
        <v>0</v>
      </c>
      <c r="I80" s="204">
        <f t="shared" si="12"/>
        <v>0</v>
      </c>
      <c r="J80" s="203">
        <f t="shared" si="13"/>
        <v>0</v>
      </c>
      <c r="K80" s="205">
        <f t="shared" si="17"/>
        <v>0</v>
      </c>
      <c r="L80" s="206">
        <f t="shared" si="18"/>
        <v>0</v>
      </c>
      <c r="M80" s="207">
        <f t="shared" si="19"/>
        <v>0</v>
      </c>
      <c r="N80" s="163"/>
      <c r="O80" s="164"/>
      <c r="P80" s="165"/>
      <c r="Q80" s="166"/>
      <c r="R80" s="167"/>
      <c r="S80" s="168"/>
      <c r="T80" s="163"/>
      <c r="U80" s="164"/>
      <c r="V80" s="165"/>
      <c r="W80" s="166"/>
      <c r="X80" s="167"/>
      <c r="Y80" s="168"/>
      <c r="Z80" s="163"/>
      <c r="AA80" s="164"/>
      <c r="AB80" s="165"/>
      <c r="AC80" s="166"/>
      <c r="AD80" s="167"/>
      <c r="AE80" s="168"/>
      <c r="AF80" s="163"/>
      <c r="AG80" s="164"/>
      <c r="AH80" s="165"/>
      <c r="AI80" s="166"/>
      <c r="AJ80" s="167"/>
      <c r="AK80" s="168"/>
      <c r="AL80" s="163"/>
      <c r="AM80" s="164"/>
      <c r="AN80" s="165"/>
      <c r="AO80" s="166"/>
      <c r="AP80" s="167"/>
      <c r="AQ80" s="168"/>
      <c r="AR80" s="163">
        <v>0</v>
      </c>
      <c r="AS80" s="164">
        <v>0</v>
      </c>
      <c r="AT80" s="165">
        <v>0</v>
      </c>
      <c r="AU80" s="166"/>
      <c r="AV80" s="167"/>
      <c r="AW80" s="168"/>
      <c r="AX80" s="163">
        <v>0</v>
      </c>
      <c r="AY80" s="164">
        <v>0</v>
      </c>
      <c r="AZ80" s="165">
        <v>0</v>
      </c>
      <c r="BA80" s="166">
        <v>0</v>
      </c>
      <c r="BB80" s="167">
        <v>0</v>
      </c>
      <c r="BC80" s="168">
        <v>0</v>
      </c>
      <c r="BD80" s="163">
        <v>0</v>
      </c>
      <c r="BE80" s="164">
        <v>0</v>
      </c>
      <c r="BF80" s="165">
        <v>0</v>
      </c>
      <c r="BG80" s="166">
        <v>0</v>
      </c>
      <c r="BH80" s="167">
        <v>0</v>
      </c>
      <c r="BI80" s="168">
        <v>0</v>
      </c>
      <c r="BJ80" s="163">
        <v>0</v>
      </c>
      <c r="BK80" s="164">
        <v>0</v>
      </c>
      <c r="BL80" s="165">
        <v>0</v>
      </c>
      <c r="BM80" s="166">
        <v>0</v>
      </c>
      <c r="BN80" s="167">
        <v>0</v>
      </c>
      <c r="BO80" s="168">
        <v>0</v>
      </c>
      <c r="BP80" s="163">
        <v>0</v>
      </c>
      <c r="BQ80" s="164">
        <v>0</v>
      </c>
      <c r="BR80" s="165">
        <v>0</v>
      </c>
      <c r="BS80" s="166">
        <v>0</v>
      </c>
      <c r="BT80" s="167">
        <v>0</v>
      </c>
      <c r="BU80" s="168">
        <v>0</v>
      </c>
      <c r="BV80" s="163">
        <v>0</v>
      </c>
      <c r="BW80" s="164">
        <v>0</v>
      </c>
      <c r="BX80" s="165">
        <v>0</v>
      </c>
      <c r="BY80" s="166">
        <v>0</v>
      </c>
      <c r="BZ80" s="167">
        <v>0</v>
      </c>
      <c r="CA80" s="168">
        <v>0</v>
      </c>
      <c r="CB80" s="163">
        <v>0</v>
      </c>
      <c r="CC80" s="164">
        <v>0</v>
      </c>
      <c r="CD80" s="165">
        <v>0</v>
      </c>
      <c r="CE80" s="166">
        <v>0</v>
      </c>
      <c r="CF80" s="167">
        <v>0</v>
      </c>
      <c r="CG80" s="168">
        <v>0</v>
      </c>
      <c r="CH80" s="163">
        <v>0</v>
      </c>
      <c r="CI80" s="164">
        <v>0</v>
      </c>
      <c r="CJ80" s="165">
        <v>0</v>
      </c>
      <c r="CK80" s="166">
        <v>0</v>
      </c>
      <c r="CL80" s="167">
        <v>0</v>
      </c>
      <c r="CM80" s="168">
        <v>0</v>
      </c>
      <c r="CN80" s="163">
        <v>0</v>
      </c>
      <c r="CO80" s="164">
        <v>0</v>
      </c>
      <c r="CP80" s="165">
        <v>0</v>
      </c>
      <c r="CQ80" s="166">
        <v>0</v>
      </c>
      <c r="CR80" s="167">
        <v>0</v>
      </c>
      <c r="CS80" s="168">
        <v>0</v>
      </c>
      <c r="CT80" s="163">
        <v>0</v>
      </c>
      <c r="CU80" s="164">
        <v>0</v>
      </c>
      <c r="CV80" s="165">
        <v>0</v>
      </c>
      <c r="CW80" s="166">
        <v>0</v>
      </c>
      <c r="CX80" s="167">
        <v>0</v>
      </c>
      <c r="CY80" s="168">
        <v>0</v>
      </c>
      <c r="CZ80" s="163">
        <v>0</v>
      </c>
      <c r="DA80" s="164">
        <v>0</v>
      </c>
      <c r="DB80" s="165">
        <v>0</v>
      </c>
      <c r="DC80" s="174"/>
      <c r="DD80" s="174"/>
      <c r="DE80" s="170"/>
      <c r="DF80" s="171"/>
      <c r="DG80" s="170"/>
      <c r="DH80" s="170"/>
    </row>
    <row r="81" spans="1:112" ht="24.75" customHeight="1">
      <c r="A81" s="200">
        <f>'Danh muc'!A81</f>
        <v>0</v>
      </c>
      <c r="B81" s="201">
        <f>'Danh muc'!B81</f>
        <v>0</v>
      </c>
      <c r="C81" s="259">
        <f>'Danh muc'!C81</f>
        <v>0</v>
      </c>
      <c r="D81" s="201">
        <f>'Danh muc'!E81</f>
        <v>0</v>
      </c>
      <c r="E81" s="202">
        <f t="shared" si="14"/>
        <v>0</v>
      </c>
      <c r="F81" s="202">
        <f t="shared" si="15"/>
        <v>0</v>
      </c>
      <c r="G81" s="202">
        <f t="shared" si="16"/>
        <v>0</v>
      </c>
      <c r="H81" s="203">
        <f t="shared" si="11"/>
        <v>0</v>
      </c>
      <c r="I81" s="204">
        <f t="shared" si="12"/>
        <v>0</v>
      </c>
      <c r="J81" s="203">
        <f t="shared" si="13"/>
        <v>0</v>
      </c>
      <c r="K81" s="205">
        <f t="shared" si="17"/>
        <v>0</v>
      </c>
      <c r="L81" s="206">
        <f t="shared" si="18"/>
        <v>0</v>
      </c>
      <c r="M81" s="207">
        <f t="shared" si="19"/>
        <v>0</v>
      </c>
      <c r="N81" s="163"/>
      <c r="O81" s="164"/>
      <c r="P81" s="165"/>
      <c r="Q81" s="166"/>
      <c r="R81" s="167"/>
      <c r="S81" s="168"/>
      <c r="T81" s="163"/>
      <c r="U81" s="164"/>
      <c r="V81" s="165"/>
      <c r="W81" s="166"/>
      <c r="X81" s="167"/>
      <c r="Y81" s="168"/>
      <c r="Z81" s="163"/>
      <c r="AA81" s="164"/>
      <c r="AB81" s="165"/>
      <c r="AC81" s="166"/>
      <c r="AD81" s="167"/>
      <c r="AE81" s="168"/>
      <c r="AF81" s="163"/>
      <c r="AG81" s="164"/>
      <c r="AH81" s="165"/>
      <c r="AI81" s="166"/>
      <c r="AJ81" s="167"/>
      <c r="AK81" s="168"/>
      <c r="AL81" s="163"/>
      <c r="AM81" s="164"/>
      <c r="AN81" s="165"/>
      <c r="AO81" s="166"/>
      <c r="AP81" s="167"/>
      <c r="AQ81" s="168"/>
      <c r="AR81" s="163">
        <v>0</v>
      </c>
      <c r="AS81" s="164">
        <v>0</v>
      </c>
      <c r="AT81" s="165">
        <v>0</v>
      </c>
      <c r="AU81" s="166"/>
      <c r="AV81" s="167"/>
      <c r="AW81" s="168"/>
      <c r="AX81" s="163">
        <v>0</v>
      </c>
      <c r="AY81" s="164">
        <v>0</v>
      </c>
      <c r="AZ81" s="165">
        <v>0</v>
      </c>
      <c r="BA81" s="166">
        <v>0</v>
      </c>
      <c r="BB81" s="167">
        <v>0</v>
      </c>
      <c r="BC81" s="168">
        <v>0</v>
      </c>
      <c r="BD81" s="163">
        <v>0</v>
      </c>
      <c r="BE81" s="164">
        <v>0</v>
      </c>
      <c r="BF81" s="165">
        <v>0</v>
      </c>
      <c r="BG81" s="166">
        <v>0</v>
      </c>
      <c r="BH81" s="167">
        <v>0</v>
      </c>
      <c r="BI81" s="168">
        <v>0</v>
      </c>
      <c r="BJ81" s="163">
        <v>0</v>
      </c>
      <c r="BK81" s="164">
        <v>0</v>
      </c>
      <c r="BL81" s="165">
        <v>0</v>
      </c>
      <c r="BM81" s="166">
        <v>0</v>
      </c>
      <c r="BN81" s="167">
        <v>0</v>
      </c>
      <c r="BO81" s="168">
        <v>0</v>
      </c>
      <c r="BP81" s="163">
        <v>0</v>
      </c>
      <c r="BQ81" s="164">
        <v>0</v>
      </c>
      <c r="BR81" s="165">
        <v>0</v>
      </c>
      <c r="BS81" s="166">
        <v>0</v>
      </c>
      <c r="BT81" s="167">
        <v>0</v>
      </c>
      <c r="BU81" s="168">
        <v>0</v>
      </c>
      <c r="BV81" s="163">
        <v>0</v>
      </c>
      <c r="BW81" s="164">
        <v>0</v>
      </c>
      <c r="BX81" s="165">
        <v>0</v>
      </c>
      <c r="BY81" s="166">
        <v>0</v>
      </c>
      <c r="BZ81" s="167">
        <v>0</v>
      </c>
      <c r="CA81" s="168">
        <v>0</v>
      </c>
      <c r="CB81" s="163">
        <v>0</v>
      </c>
      <c r="CC81" s="164">
        <v>0</v>
      </c>
      <c r="CD81" s="165">
        <v>0</v>
      </c>
      <c r="CE81" s="166">
        <v>0</v>
      </c>
      <c r="CF81" s="167">
        <v>0</v>
      </c>
      <c r="CG81" s="168">
        <v>0</v>
      </c>
      <c r="CH81" s="163">
        <v>0</v>
      </c>
      <c r="CI81" s="164">
        <v>0</v>
      </c>
      <c r="CJ81" s="165">
        <v>0</v>
      </c>
      <c r="CK81" s="166">
        <v>0</v>
      </c>
      <c r="CL81" s="167">
        <v>0</v>
      </c>
      <c r="CM81" s="168">
        <v>0</v>
      </c>
      <c r="CN81" s="163">
        <v>0</v>
      </c>
      <c r="CO81" s="164">
        <v>0</v>
      </c>
      <c r="CP81" s="165">
        <v>0</v>
      </c>
      <c r="CQ81" s="166">
        <v>0</v>
      </c>
      <c r="CR81" s="167">
        <v>0</v>
      </c>
      <c r="CS81" s="168">
        <v>0</v>
      </c>
      <c r="CT81" s="163">
        <v>0</v>
      </c>
      <c r="CU81" s="164">
        <v>0</v>
      </c>
      <c r="CV81" s="165">
        <v>0</v>
      </c>
      <c r="CW81" s="166">
        <v>0</v>
      </c>
      <c r="CX81" s="167">
        <v>0</v>
      </c>
      <c r="CY81" s="168">
        <v>0</v>
      </c>
      <c r="CZ81" s="163">
        <v>0</v>
      </c>
      <c r="DA81" s="164">
        <v>0</v>
      </c>
      <c r="DB81" s="165">
        <v>0</v>
      </c>
      <c r="DC81" s="174"/>
      <c r="DD81" s="174"/>
      <c r="DE81" s="170"/>
      <c r="DF81" s="171"/>
      <c r="DG81" s="170"/>
      <c r="DH81" s="170"/>
    </row>
    <row r="82" spans="1:112" ht="24.75" customHeight="1">
      <c r="A82" s="200">
        <f>'Danh muc'!A82</f>
        <v>0</v>
      </c>
      <c r="B82" s="201">
        <f>'Danh muc'!B82</f>
        <v>0</v>
      </c>
      <c r="C82" s="259">
        <f>'Danh muc'!C82</f>
        <v>0</v>
      </c>
      <c r="D82" s="201">
        <f>'Danh muc'!E82</f>
        <v>0</v>
      </c>
      <c r="E82" s="202">
        <f t="shared" si="14"/>
        <v>0</v>
      </c>
      <c r="F82" s="202">
        <f t="shared" si="15"/>
        <v>0</v>
      </c>
      <c r="G82" s="202">
        <f t="shared" si="16"/>
        <v>0</v>
      </c>
      <c r="H82" s="203">
        <f t="shared" si="11"/>
        <v>0</v>
      </c>
      <c r="I82" s="204">
        <f t="shared" si="12"/>
        <v>0</v>
      </c>
      <c r="J82" s="203">
        <f t="shared" si="13"/>
        <v>0</v>
      </c>
      <c r="K82" s="205">
        <f t="shared" si="17"/>
        <v>0</v>
      </c>
      <c r="L82" s="206">
        <f t="shared" si="18"/>
        <v>0</v>
      </c>
      <c r="M82" s="207">
        <f t="shared" si="19"/>
        <v>0</v>
      </c>
      <c r="N82" s="163"/>
      <c r="O82" s="164"/>
      <c r="P82" s="165"/>
      <c r="Q82" s="166"/>
      <c r="R82" s="167"/>
      <c r="S82" s="168"/>
      <c r="T82" s="163"/>
      <c r="U82" s="164"/>
      <c r="V82" s="165"/>
      <c r="W82" s="166"/>
      <c r="X82" s="167"/>
      <c r="Y82" s="168"/>
      <c r="Z82" s="163"/>
      <c r="AA82" s="164"/>
      <c r="AB82" s="165"/>
      <c r="AC82" s="166">
        <v>0</v>
      </c>
      <c r="AD82" s="167">
        <v>0</v>
      </c>
      <c r="AE82" s="168">
        <v>0</v>
      </c>
      <c r="AF82" s="163">
        <v>0</v>
      </c>
      <c r="AG82" s="164">
        <v>0</v>
      </c>
      <c r="AH82" s="165">
        <v>0</v>
      </c>
      <c r="AI82" s="166">
        <v>0</v>
      </c>
      <c r="AJ82" s="167">
        <v>0</v>
      </c>
      <c r="AK82" s="168">
        <v>0</v>
      </c>
      <c r="AL82" s="163">
        <v>0</v>
      </c>
      <c r="AM82" s="164">
        <v>0</v>
      </c>
      <c r="AN82" s="165">
        <v>0</v>
      </c>
      <c r="AO82" s="166">
        <v>0</v>
      </c>
      <c r="AP82" s="167">
        <v>0</v>
      </c>
      <c r="AQ82" s="168">
        <v>0</v>
      </c>
      <c r="AR82" s="163">
        <v>0</v>
      </c>
      <c r="AS82" s="164">
        <v>0</v>
      </c>
      <c r="AT82" s="165">
        <v>0</v>
      </c>
      <c r="AU82" s="166"/>
      <c r="AV82" s="167"/>
      <c r="AW82" s="168"/>
      <c r="AX82" s="163">
        <v>0</v>
      </c>
      <c r="AY82" s="164">
        <v>0</v>
      </c>
      <c r="AZ82" s="165">
        <v>0</v>
      </c>
      <c r="BA82" s="166">
        <v>0</v>
      </c>
      <c r="BB82" s="167">
        <v>0</v>
      </c>
      <c r="BC82" s="168">
        <v>0</v>
      </c>
      <c r="BD82" s="163">
        <v>0</v>
      </c>
      <c r="BE82" s="164">
        <v>0</v>
      </c>
      <c r="BF82" s="165">
        <v>0</v>
      </c>
      <c r="BG82" s="166">
        <v>0</v>
      </c>
      <c r="BH82" s="167">
        <v>0</v>
      </c>
      <c r="BI82" s="168">
        <v>0</v>
      </c>
      <c r="BJ82" s="163">
        <v>0</v>
      </c>
      <c r="BK82" s="164">
        <v>0</v>
      </c>
      <c r="BL82" s="165">
        <v>0</v>
      </c>
      <c r="BM82" s="166">
        <v>0</v>
      </c>
      <c r="BN82" s="167">
        <v>0</v>
      </c>
      <c r="BO82" s="168">
        <v>0</v>
      </c>
      <c r="BP82" s="163">
        <v>0</v>
      </c>
      <c r="BQ82" s="164">
        <v>0</v>
      </c>
      <c r="BR82" s="165">
        <v>0</v>
      </c>
      <c r="BS82" s="166">
        <v>0</v>
      </c>
      <c r="BT82" s="167">
        <v>0</v>
      </c>
      <c r="BU82" s="168">
        <v>0</v>
      </c>
      <c r="BV82" s="163">
        <v>0</v>
      </c>
      <c r="BW82" s="164">
        <v>0</v>
      </c>
      <c r="BX82" s="165">
        <v>0</v>
      </c>
      <c r="BY82" s="166">
        <v>0</v>
      </c>
      <c r="BZ82" s="167">
        <v>0</v>
      </c>
      <c r="CA82" s="168">
        <v>0</v>
      </c>
      <c r="CB82" s="163">
        <v>0</v>
      </c>
      <c r="CC82" s="164">
        <v>0</v>
      </c>
      <c r="CD82" s="165">
        <v>0</v>
      </c>
      <c r="CE82" s="166">
        <v>0</v>
      </c>
      <c r="CF82" s="167">
        <v>0</v>
      </c>
      <c r="CG82" s="168">
        <v>0</v>
      </c>
      <c r="CH82" s="163">
        <v>0</v>
      </c>
      <c r="CI82" s="164">
        <v>0</v>
      </c>
      <c r="CJ82" s="165">
        <v>0</v>
      </c>
      <c r="CK82" s="166">
        <v>0</v>
      </c>
      <c r="CL82" s="167">
        <v>0</v>
      </c>
      <c r="CM82" s="168">
        <v>0</v>
      </c>
      <c r="CN82" s="163">
        <v>0</v>
      </c>
      <c r="CO82" s="164">
        <v>0</v>
      </c>
      <c r="CP82" s="165">
        <v>0</v>
      </c>
      <c r="CQ82" s="166">
        <v>0</v>
      </c>
      <c r="CR82" s="167">
        <v>0</v>
      </c>
      <c r="CS82" s="168">
        <v>0</v>
      </c>
      <c r="CT82" s="163">
        <v>0</v>
      </c>
      <c r="CU82" s="164">
        <v>0</v>
      </c>
      <c r="CV82" s="165">
        <v>0</v>
      </c>
      <c r="CW82" s="166">
        <v>0</v>
      </c>
      <c r="CX82" s="167">
        <v>0</v>
      </c>
      <c r="CY82" s="168">
        <v>0</v>
      </c>
      <c r="CZ82" s="163">
        <v>0</v>
      </c>
      <c r="DA82" s="164">
        <v>0</v>
      </c>
      <c r="DB82" s="165">
        <v>0</v>
      </c>
      <c r="DC82" s="174"/>
      <c r="DD82" s="174"/>
      <c r="DE82" s="170"/>
      <c r="DF82" s="171"/>
      <c r="DG82" s="170"/>
      <c r="DH82" s="170"/>
    </row>
    <row r="83" spans="1:112" ht="24.75" customHeight="1">
      <c r="A83" s="200">
        <f>'Danh muc'!A83</f>
        <v>0</v>
      </c>
      <c r="B83" s="201">
        <f>'Danh muc'!B83</f>
        <v>0</v>
      </c>
      <c r="C83" s="259">
        <f>'Danh muc'!C83</f>
        <v>0</v>
      </c>
      <c r="D83" s="201">
        <f>'Danh muc'!E83</f>
        <v>0</v>
      </c>
      <c r="E83" s="202">
        <f t="shared" si="14"/>
        <v>0</v>
      </c>
      <c r="F83" s="202">
        <f t="shared" si="15"/>
        <v>0</v>
      </c>
      <c r="G83" s="202">
        <f t="shared" si="16"/>
        <v>0</v>
      </c>
      <c r="H83" s="203">
        <f t="shared" si="11"/>
        <v>0</v>
      </c>
      <c r="I83" s="204">
        <f t="shared" si="12"/>
        <v>0</v>
      </c>
      <c r="J83" s="203">
        <f t="shared" si="13"/>
        <v>0</v>
      </c>
      <c r="K83" s="205">
        <f t="shared" si="17"/>
        <v>0</v>
      </c>
      <c r="L83" s="206">
        <f t="shared" si="18"/>
        <v>0</v>
      </c>
      <c r="M83" s="207">
        <f t="shared" si="19"/>
        <v>0</v>
      </c>
      <c r="N83" s="163">
        <v>0</v>
      </c>
      <c r="O83" s="164">
        <v>0</v>
      </c>
      <c r="P83" s="165">
        <v>0</v>
      </c>
      <c r="Q83" s="166">
        <v>0</v>
      </c>
      <c r="R83" s="167">
        <v>0</v>
      </c>
      <c r="S83" s="168">
        <v>0</v>
      </c>
      <c r="T83" s="163">
        <v>0</v>
      </c>
      <c r="U83" s="164">
        <v>0</v>
      </c>
      <c r="V83" s="165">
        <v>0</v>
      </c>
      <c r="W83" s="166">
        <v>0</v>
      </c>
      <c r="X83" s="167">
        <v>0</v>
      </c>
      <c r="Y83" s="168">
        <v>0</v>
      </c>
      <c r="Z83" s="163">
        <v>0</v>
      </c>
      <c r="AA83" s="164">
        <v>0</v>
      </c>
      <c r="AB83" s="165">
        <v>0</v>
      </c>
      <c r="AC83" s="166">
        <v>0</v>
      </c>
      <c r="AD83" s="167">
        <v>0</v>
      </c>
      <c r="AE83" s="168">
        <v>0</v>
      </c>
      <c r="AF83" s="163">
        <v>0</v>
      </c>
      <c r="AG83" s="164">
        <v>0</v>
      </c>
      <c r="AH83" s="165">
        <v>0</v>
      </c>
      <c r="AI83" s="166">
        <v>0</v>
      </c>
      <c r="AJ83" s="167">
        <v>0</v>
      </c>
      <c r="AK83" s="168">
        <v>0</v>
      </c>
      <c r="AL83" s="163">
        <v>0</v>
      </c>
      <c r="AM83" s="164">
        <v>0</v>
      </c>
      <c r="AN83" s="165">
        <v>0</v>
      </c>
      <c r="AO83" s="166">
        <v>0</v>
      </c>
      <c r="AP83" s="167">
        <v>0</v>
      </c>
      <c r="AQ83" s="168">
        <v>0</v>
      </c>
      <c r="AR83" s="163">
        <v>0</v>
      </c>
      <c r="AS83" s="164">
        <v>0</v>
      </c>
      <c r="AT83" s="165">
        <v>0</v>
      </c>
      <c r="AU83" s="166"/>
      <c r="AV83" s="167"/>
      <c r="AW83" s="168"/>
      <c r="AX83" s="163">
        <v>0</v>
      </c>
      <c r="AY83" s="164">
        <v>0</v>
      </c>
      <c r="AZ83" s="165">
        <v>0</v>
      </c>
      <c r="BA83" s="166">
        <v>0</v>
      </c>
      <c r="BB83" s="167">
        <v>0</v>
      </c>
      <c r="BC83" s="168">
        <v>0</v>
      </c>
      <c r="BD83" s="163">
        <v>0</v>
      </c>
      <c r="BE83" s="164">
        <v>0</v>
      </c>
      <c r="BF83" s="165">
        <v>0</v>
      </c>
      <c r="BG83" s="166">
        <v>0</v>
      </c>
      <c r="BH83" s="167">
        <v>0</v>
      </c>
      <c r="BI83" s="168">
        <v>0</v>
      </c>
      <c r="BJ83" s="163">
        <v>0</v>
      </c>
      <c r="BK83" s="164">
        <v>0</v>
      </c>
      <c r="BL83" s="165">
        <v>0</v>
      </c>
      <c r="BM83" s="166">
        <v>0</v>
      </c>
      <c r="BN83" s="167">
        <v>0</v>
      </c>
      <c r="BO83" s="168">
        <v>0</v>
      </c>
      <c r="BP83" s="163">
        <v>0</v>
      </c>
      <c r="BQ83" s="164">
        <v>0</v>
      </c>
      <c r="BR83" s="165">
        <v>0</v>
      </c>
      <c r="BS83" s="166">
        <v>0</v>
      </c>
      <c r="BT83" s="167">
        <v>0</v>
      </c>
      <c r="BU83" s="168">
        <v>0</v>
      </c>
      <c r="BV83" s="163">
        <v>0</v>
      </c>
      <c r="BW83" s="164">
        <v>0</v>
      </c>
      <c r="BX83" s="165">
        <v>0</v>
      </c>
      <c r="BY83" s="166">
        <v>0</v>
      </c>
      <c r="BZ83" s="167">
        <v>0</v>
      </c>
      <c r="CA83" s="168">
        <v>0</v>
      </c>
      <c r="CB83" s="163">
        <v>0</v>
      </c>
      <c r="CC83" s="164">
        <v>0</v>
      </c>
      <c r="CD83" s="165">
        <v>0</v>
      </c>
      <c r="CE83" s="166">
        <v>0</v>
      </c>
      <c r="CF83" s="167">
        <v>0</v>
      </c>
      <c r="CG83" s="168">
        <v>0</v>
      </c>
      <c r="CH83" s="163">
        <v>0</v>
      </c>
      <c r="CI83" s="164">
        <v>0</v>
      </c>
      <c r="CJ83" s="165">
        <v>0</v>
      </c>
      <c r="CK83" s="166">
        <v>0</v>
      </c>
      <c r="CL83" s="167">
        <v>0</v>
      </c>
      <c r="CM83" s="168">
        <v>0</v>
      </c>
      <c r="CN83" s="163">
        <v>0</v>
      </c>
      <c r="CO83" s="164">
        <v>0</v>
      </c>
      <c r="CP83" s="165">
        <v>0</v>
      </c>
      <c r="CQ83" s="166">
        <v>0</v>
      </c>
      <c r="CR83" s="167">
        <v>0</v>
      </c>
      <c r="CS83" s="168">
        <v>0</v>
      </c>
      <c r="CT83" s="163">
        <v>0</v>
      </c>
      <c r="CU83" s="164">
        <v>0</v>
      </c>
      <c r="CV83" s="165">
        <v>0</v>
      </c>
      <c r="CW83" s="166">
        <v>0</v>
      </c>
      <c r="CX83" s="167">
        <v>0</v>
      </c>
      <c r="CY83" s="168">
        <v>0</v>
      </c>
      <c r="CZ83" s="163">
        <v>0</v>
      </c>
      <c r="DA83" s="164">
        <v>0</v>
      </c>
      <c r="DB83" s="165">
        <v>0</v>
      </c>
      <c r="DC83" s="174"/>
      <c r="DD83" s="174"/>
      <c r="DE83" s="170"/>
      <c r="DF83" s="171"/>
      <c r="DG83" s="278"/>
      <c r="DH83" s="170"/>
    </row>
    <row r="84" spans="1:112" ht="24.75" customHeight="1">
      <c r="A84" s="200">
        <f>'Danh muc'!A84</f>
        <v>0</v>
      </c>
      <c r="B84" s="201">
        <f>'Danh muc'!B84</f>
        <v>0</v>
      </c>
      <c r="C84" s="259">
        <f>'Danh muc'!C84</f>
        <v>0</v>
      </c>
      <c r="D84" s="201">
        <f>'Danh muc'!E84</f>
        <v>0</v>
      </c>
      <c r="E84" s="202">
        <f t="shared" si="14"/>
        <v>0</v>
      </c>
      <c r="F84" s="202">
        <f t="shared" si="15"/>
        <v>0</v>
      </c>
      <c r="G84" s="202">
        <f t="shared" si="16"/>
        <v>0</v>
      </c>
      <c r="H84" s="203">
        <f t="shared" si="11"/>
        <v>0</v>
      </c>
      <c r="I84" s="204">
        <f t="shared" si="12"/>
        <v>0</v>
      </c>
      <c r="J84" s="203">
        <f t="shared" si="13"/>
        <v>0</v>
      </c>
      <c r="K84" s="205">
        <f t="shared" si="17"/>
        <v>0</v>
      </c>
      <c r="L84" s="206">
        <f t="shared" si="18"/>
        <v>0</v>
      </c>
      <c r="M84" s="207">
        <f t="shared" si="19"/>
        <v>0</v>
      </c>
      <c r="N84" s="163">
        <v>0</v>
      </c>
      <c r="O84" s="164">
        <v>0</v>
      </c>
      <c r="P84" s="165">
        <v>0</v>
      </c>
      <c r="Q84" s="166">
        <v>0</v>
      </c>
      <c r="R84" s="167">
        <v>0</v>
      </c>
      <c r="S84" s="168">
        <v>0</v>
      </c>
      <c r="T84" s="163">
        <v>0</v>
      </c>
      <c r="U84" s="164">
        <v>0</v>
      </c>
      <c r="V84" s="165">
        <v>0</v>
      </c>
      <c r="W84" s="166">
        <v>0</v>
      </c>
      <c r="X84" s="167">
        <v>0</v>
      </c>
      <c r="Y84" s="168">
        <v>0</v>
      </c>
      <c r="Z84" s="163">
        <v>0</v>
      </c>
      <c r="AA84" s="164">
        <v>0</v>
      </c>
      <c r="AB84" s="165">
        <v>0</v>
      </c>
      <c r="AC84" s="166">
        <v>0</v>
      </c>
      <c r="AD84" s="167">
        <v>0</v>
      </c>
      <c r="AE84" s="168">
        <v>0</v>
      </c>
      <c r="AF84" s="163">
        <v>0</v>
      </c>
      <c r="AG84" s="164">
        <v>0</v>
      </c>
      <c r="AH84" s="165">
        <v>0</v>
      </c>
      <c r="AI84" s="166">
        <v>0</v>
      </c>
      <c r="AJ84" s="167">
        <v>0</v>
      </c>
      <c r="AK84" s="168">
        <v>0</v>
      </c>
      <c r="AL84" s="163">
        <v>0</v>
      </c>
      <c r="AM84" s="164">
        <v>0</v>
      </c>
      <c r="AN84" s="165">
        <v>0</v>
      </c>
      <c r="AO84" s="166">
        <v>0</v>
      </c>
      <c r="AP84" s="167">
        <v>0</v>
      </c>
      <c r="AQ84" s="168">
        <v>0</v>
      </c>
      <c r="AR84" s="163">
        <v>0</v>
      </c>
      <c r="AS84" s="164">
        <v>0</v>
      </c>
      <c r="AT84" s="165">
        <v>0</v>
      </c>
      <c r="AU84" s="166"/>
      <c r="AV84" s="167"/>
      <c r="AW84" s="168"/>
      <c r="AX84" s="163">
        <v>0</v>
      </c>
      <c r="AY84" s="164">
        <v>0</v>
      </c>
      <c r="AZ84" s="165">
        <v>0</v>
      </c>
      <c r="BA84" s="166">
        <v>0</v>
      </c>
      <c r="BB84" s="167">
        <v>0</v>
      </c>
      <c r="BC84" s="168">
        <v>0</v>
      </c>
      <c r="BD84" s="163">
        <v>0</v>
      </c>
      <c r="BE84" s="164">
        <v>0</v>
      </c>
      <c r="BF84" s="165">
        <v>0</v>
      </c>
      <c r="BG84" s="166">
        <v>0</v>
      </c>
      <c r="BH84" s="167">
        <v>0</v>
      </c>
      <c r="BI84" s="168">
        <v>0</v>
      </c>
      <c r="BJ84" s="163">
        <v>0</v>
      </c>
      <c r="BK84" s="164">
        <v>0</v>
      </c>
      <c r="BL84" s="165">
        <v>0</v>
      </c>
      <c r="BM84" s="166">
        <v>0</v>
      </c>
      <c r="BN84" s="167">
        <v>0</v>
      </c>
      <c r="BO84" s="168">
        <v>0</v>
      </c>
      <c r="BP84" s="163">
        <v>0</v>
      </c>
      <c r="BQ84" s="164">
        <v>0</v>
      </c>
      <c r="BR84" s="165">
        <v>0</v>
      </c>
      <c r="BS84" s="166">
        <v>0</v>
      </c>
      <c r="BT84" s="167">
        <v>0</v>
      </c>
      <c r="BU84" s="168">
        <v>0</v>
      </c>
      <c r="BV84" s="163">
        <v>0</v>
      </c>
      <c r="BW84" s="164">
        <v>0</v>
      </c>
      <c r="BX84" s="165">
        <v>0</v>
      </c>
      <c r="BY84" s="166">
        <v>0</v>
      </c>
      <c r="BZ84" s="167">
        <v>0</v>
      </c>
      <c r="CA84" s="168">
        <v>0</v>
      </c>
      <c r="CB84" s="163">
        <v>0</v>
      </c>
      <c r="CC84" s="164">
        <v>0</v>
      </c>
      <c r="CD84" s="165">
        <v>0</v>
      </c>
      <c r="CE84" s="166">
        <v>0</v>
      </c>
      <c r="CF84" s="167">
        <v>0</v>
      </c>
      <c r="CG84" s="168">
        <v>0</v>
      </c>
      <c r="CH84" s="163">
        <v>0</v>
      </c>
      <c r="CI84" s="164">
        <v>0</v>
      </c>
      <c r="CJ84" s="165">
        <v>0</v>
      </c>
      <c r="CK84" s="166">
        <v>0</v>
      </c>
      <c r="CL84" s="167">
        <v>0</v>
      </c>
      <c r="CM84" s="168">
        <v>0</v>
      </c>
      <c r="CN84" s="163">
        <v>0</v>
      </c>
      <c r="CO84" s="164">
        <v>0</v>
      </c>
      <c r="CP84" s="165">
        <v>0</v>
      </c>
      <c r="CQ84" s="166">
        <v>0</v>
      </c>
      <c r="CR84" s="167">
        <v>0</v>
      </c>
      <c r="CS84" s="168">
        <v>0</v>
      </c>
      <c r="CT84" s="163">
        <v>0</v>
      </c>
      <c r="CU84" s="164">
        <v>0</v>
      </c>
      <c r="CV84" s="165">
        <v>0</v>
      </c>
      <c r="CW84" s="166">
        <v>0</v>
      </c>
      <c r="CX84" s="167">
        <v>0</v>
      </c>
      <c r="CY84" s="168">
        <v>0</v>
      </c>
      <c r="CZ84" s="163">
        <v>0</v>
      </c>
      <c r="DA84" s="164">
        <v>0</v>
      </c>
      <c r="DB84" s="165">
        <v>0</v>
      </c>
      <c r="DC84" s="174"/>
      <c r="DD84" s="174"/>
      <c r="DE84" s="170"/>
      <c r="DF84" s="171"/>
      <c r="DG84" s="278"/>
      <c r="DH84" s="170"/>
    </row>
    <row r="85" spans="1:112" ht="24.75" customHeight="1">
      <c r="A85" s="200">
        <f>'Danh muc'!A85</f>
        <v>0</v>
      </c>
      <c r="B85" s="201">
        <f>'Danh muc'!B85</f>
        <v>0</v>
      </c>
      <c r="C85" s="259">
        <f>'Danh muc'!C85</f>
        <v>0</v>
      </c>
      <c r="D85" s="201">
        <f>'Danh muc'!E85</f>
        <v>0</v>
      </c>
      <c r="E85" s="202">
        <f t="shared" si="14"/>
        <v>0</v>
      </c>
      <c r="F85" s="202">
        <f t="shared" si="15"/>
        <v>0</v>
      </c>
      <c r="G85" s="202">
        <f t="shared" si="16"/>
        <v>0</v>
      </c>
      <c r="H85" s="203">
        <f t="shared" si="11"/>
        <v>0</v>
      </c>
      <c r="I85" s="204">
        <f t="shared" si="12"/>
        <v>0</v>
      </c>
      <c r="J85" s="203">
        <f t="shared" si="13"/>
        <v>0</v>
      </c>
      <c r="K85" s="205">
        <f t="shared" si="17"/>
        <v>0</v>
      </c>
      <c r="L85" s="206">
        <f t="shared" si="18"/>
        <v>0</v>
      </c>
      <c r="M85" s="207">
        <f t="shared" si="19"/>
        <v>0</v>
      </c>
      <c r="N85" s="163">
        <v>0</v>
      </c>
      <c r="O85" s="164">
        <v>0</v>
      </c>
      <c r="P85" s="165">
        <v>0</v>
      </c>
      <c r="Q85" s="166">
        <v>0</v>
      </c>
      <c r="R85" s="167">
        <v>0</v>
      </c>
      <c r="S85" s="168">
        <v>0</v>
      </c>
      <c r="T85" s="163">
        <v>0</v>
      </c>
      <c r="U85" s="164">
        <v>0</v>
      </c>
      <c r="V85" s="165">
        <v>0</v>
      </c>
      <c r="W85" s="166">
        <v>0</v>
      </c>
      <c r="X85" s="167">
        <v>0</v>
      </c>
      <c r="Y85" s="168">
        <v>0</v>
      </c>
      <c r="Z85" s="163">
        <v>0</v>
      </c>
      <c r="AA85" s="164">
        <v>0</v>
      </c>
      <c r="AB85" s="165">
        <v>0</v>
      </c>
      <c r="AC85" s="166">
        <v>0</v>
      </c>
      <c r="AD85" s="167">
        <v>0</v>
      </c>
      <c r="AE85" s="168">
        <v>0</v>
      </c>
      <c r="AF85" s="163">
        <v>0</v>
      </c>
      <c r="AG85" s="164">
        <v>0</v>
      </c>
      <c r="AH85" s="165">
        <v>0</v>
      </c>
      <c r="AI85" s="166">
        <v>0</v>
      </c>
      <c r="AJ85" s="167">
        <v>0</v>
      </c>
      <c r="AK85" s="168">
        <v>0</v>
      </c>
      <c r="AL85" s="163">
        <v>0</v>
      </c>
      <c r="AM85" s="164">
        <v>0</v>
      </c>
      <c r="AN85" s="165">
        <v>0</v>
      </c>
      <c r="AO85" s="166">
        <v>0</v>
      </c>
      <c r="AP85" s="167">
        <v>0</v>
      </c>
      <c r="AQ85" s="168">
        <v>0</v>
      </c>
      <c r="AR85" s="163">
        <v>0</v>
      </c>
      <c r="AS85" s="164">
        <v>0</v>
      </c>
      <c r="AT85" s="165">
        <v>0</v>
      </c>
      <c r="AU85" s="166"/>
      <c r="AV85" s="167"/>
      <c r="AW85" s="168"/>
      <c r="AX85" s="163">
        <v>0</v>
      </c>
      <c r="AY85" s="164">
        <v>0</v>
      </c>
      <c r="AZ85" s="165">
        <v>0</v>
      </c>
      <c r="BA85" s="166">
        <v>0</v>
      </c>
      <c r="BB85" s="167">
        <v>0</v>
      </c>
      <c r="BC85" s="168">
        <v>0</v>
      </c>
      <c r="BD85" s="163">
        <v>0</v>
      </c>
      <c r="BE85" s="164">
        <v>0</v>
      </c>
      <c r="BF85" s="165">
        <v>0</v>
      </c>
      <c r="BG85" s="166">
        <v>0</v>
      </c>
      <c r="BH85" s="167">
        <v>0</v>
      </c>
      <c r="BI85" s="168">
        <v>0</v>
      </c>
      <c r="BJ85" s="163">
        <v>0</v>
      </c>
      <c r="BK85" s="164">
        <v>0</v>
      </c>
      <c r="BL85" s="165">
        <v>0</v>
      </c>
      <c r="BM85" s="166">
        <v>0</v>
      </c>
      <c r="BN85" s="167">
        <v>0</v>
      </c>
      <c r="BO85" s="168">
        <v>0</v>
      </c>
      <c r="BP85" s="163">
        <v>0</v>
      </c>
      <c r="BQ85" s="164">
        <v>0</v>
      </c>
      <c r="BR85" s="165">
        <v>0</v>
      </c>
      <c r="BS85" s="166">
        <v>0</v>
      </c>
      <c r="BT85" s="167">
        <v>0</v>
      </c>
      <c r="BU85" s="168">
        <v>0</v>
      </c>
      <c r="BV85" s="163">
        <v>0</v>
      </c>
      <c r="BW85" s="164">
        <v>0</v>
      </c>
      <c r="BX85" s="165">
        <v>0</v>
      </c>
      <c r="BY85" s="166">
        <v>0</v>
      </c>
      <c r="BZ85" s="167">
        <v>0</v>
      </c>
      <c r="CA85" s="168">
        <v>0</v>
      </c>
      <c r="CB85" s="163">
        <v>0</v>
      </c>
      <c r="CC85" s="164">
        <v>0</v>
      </c>
      <c r="CD85" s="165">
        <v>0</v>
      </c>
      <c r="CE85" s="166">
        <v>0</v>
      </c>
      <c r="CF85" s="167">
        <v>0</v>
      </c>
      <c r="CG85" s="168">
        <v>0</v>
      </c>
      <c r="CH85" s="163">
        <v>0</v>
      </c>
      <c r="CI85" s="164">
        <v>0</v>
      </c>
      <c r="CJ85" s="165">
        <v>0</v>
      </c>
      <c r="CK85" s="166">
        <v>0</v>
      </c>
      <c r="CL85" s="167">
        <v>0</v>
      </c>
      <c r="CM85" s="168">
        <v>0</v>
      </c>
      <c r="CN85" s="163">
        <v>0</v>
      </c>
      <c r="CO85" s="164">
        <v>0</v>
      </c>
      <c r="CP85" s="165">
        <v>0</v>
      </c>
      <c r="CQ85" s="166">
        <v>0</v>
      </c>
      <c r="CR85" s="167">
        <v>0</v>
      </c>
      <c r="CS85" s="168">
        <v>0</v>
      </c>
      <c r="CT85" s="163">
        <v>0</v>
      </c>
      <c r="CU85" s="164">
        <v>0</v>
      </c>
      <c r="CV85" s="165">
        <v>0</v>
      </c>
      <c r="CW85" s="166">
        <v>0</v>
      </c>
      <c r="CX85" s="167">
        <v>0</v>
      </c>
      <c r="CY85" s="168">
        <v>0</v>
      </c>
      <c r="CZ85" s="163">
        <v>0</v>
      </c>
      <c r="DA85" s="164">
        <v>0</v>
      </c>
      <c r="DB85" s="165">
        <v>0</v>
      </c>
      <c r="DC85" s="174"/>
      <c r="DD85" s="174"/>
      <c r="DE85" s="170"/>
      <c r="DF85" s="171"/>
      <c r="DG85" s="278"/>
      <c r="DH85" s="170"/>
    </row>
    <row r="86" spans="1:112" ht="24.75" customHeight="1">
      <c r="A86" s="200">
        <f>'Danh muc'!A86</f>
        <v>0</v>
      </c>
      <c r="B86" s="201">
        <f>'Danh muc'!B86</f>
        <v>0</v>
      </c>
      <c r="C86" s="259">
        <f>'Danh muc'!C86</f>
        <v>0</v>
      </c>
      <c r="D86" s="201">
        <f>'Danh muc'!E86</f>
        <v>0</v>
      </c>
      <c r="E86" s="202">
        <f t="shared" si="14"/>
        <v>0</v>
      </c>
      <c r="F86" s="202">
        <f t="shared" si="15"/>
        <v>0</v>
      </c>
      <c r="G86" s="202">
        <f t="shared" si="16"/>
        <v>0</v>
      </c>
      <c r="H86" s="203">
        <f t="shared" si="11"/>
        <v>0</v>
      </c>
      <c r="I86" s="204">
        <f t="shared" si="12"/>
        <v>0</v>
      </c>
      <c r="J86" s="203">
        <f t="shared" si="13"/>
        <v>0</v>
      </c>
      <c r="K86" s="205">
        <f t="shared" si="17"/>
        <v>0</v>
      </c>
      <c r="L86" s="206">
        <f t="shared" si="18"/>
        <v>0</v>
      </c>
      <c r="M86" s="207">
        <f t="shared" si="19"/>
        <v>0</v>
      </c>
      <c r="N86" s="163">
        <v>0</v>
      </c>
      <c r="O86" s="164">
        <v>0</v>
      </c>
      <c r="P86" s="165">
        <v>0</v>
      </c>
      <c r="Q86" s="166">
        <v>0</v>
      </c>
      <c r="R86" s="167">
        <v>0</v>
      </c>
      <c r="S86" s="168">
        <v>0</v>
      </c>
      <c r="T86" s="163">
        <v>0</v>
      </c>
      <c r="U86" s="164">
        <v>0</v>
      </c>
      <c r="V86" s="165">
        <v>0</v>
      </c>
      <c r="W86" s="166">
        <v>0</v>
      </c>
      <c r="X86" s="167">
        <v>0</v>
      </c>
      <c r="Y86" s="168">
        <v>0</v>
      </c>
      <c r="Z86" s="163">
        <v>0</v>
      </c>
      <c r="AA86" s="164">
        <v>0</v>
      </c>
      <c r="AB86" s="165">
        <v>0</v>
      </c>
      <c r="AC86" s="166">
        <v>0</v>
      </c>
      <c r="AD86" s="167">
        <v>0</v>
      </c>
      <c r="AE86" s="168">
        <v>0</v>
      </c>
      <c r="AF86" s="163">
        <v>0</v>
      </c>
      <c r="AG86" s="164">
        <v>0</v>
      </c>
      <c r="AH86" s="165">
        <v>0</v>
      </c>
      <c r="AI86" s="166">
        <v>0</v>
      </c>
      <c r="AJ86" s="167">
        <v>0</v>
      </c>
      <c r="AK86" s="168">
        <v>0</v>
      </c>
      <c r="AL86" s="163">
        <v>0</v>
      </c>
      <c r="AM86" s="164">
        <v>0</v>
      </c>
      <c r="AN86" s="165">
        <v>0</v>
      </c>
      <c r="AO86" s="166">
        <v>0</v>
      </c>
      <c r="AP86" s="167">
        <v>0</v>
      </c>
      <c r="AQ86" s="168">
        <v>0</v>
      </c>
      <c r="AR86" s="163">
        <v>0</v>
      </c>
      <c r="AS86" s="164">
        <v>0</v>
      </c>
      <c r="AT86" s="165">
        <v>0</v>
      </c>
      <c r="AU86" s="166"/>
      <c r="AV86" s="167"/>
      <c r="AW86" s="168"/>
      <c r="AX86" s="163">
        <v>0</v>
      </c>
      <c r="AY86" s="164">
        <v>0</v>
      </c>
      <c r="AZ86" s="165">
        <v>0</v>
      </c>
      <c r="BA86" s="166">
        <v>0</v>
      </c>
      <c r="BB86" s="167">
        <v>0</v>
      </c>
      <c r="BC86" s="168">
        <v>0</v>
      </c>
      <c r="BD86" s="163">
        <v>0</v>
      </c>
      <c r="BE86" s="164">
        <v>0</v>
      </c>
      <c r="BF86" s="165">
        <v>0</v>
      </c>
      <c r="BG86" s="166">
        <v>0</v>
      </c>
      <c r="BH86" s="167">
        <v>0</v>
      </c>
      <c r="BI86" s="168">
        <v>0</v>
      </c>
      <c r="BJ86" s="163">
        <v>0</v>
      </c>
      <c r="BK86" s="164">
        <v>0</v>
      </c>
      <c r="BL86" s="165">
        <v>0</v>
      </c>
      <c r="BM86" s="166">
        <v>0</v>
      </c>
      <c r="BN86" s="167">
        <v>0</v>
      </c>
      <c r="BO86" s="168">
        <v>0</v>
      </c>
      <c r="BP86" s="163">
        <v>0</v>
      </c>
      <c r="BQ86" s="164">
        <v>0</v>
      </c>
      <c r="BR86" s="165">
        <v>0</v>
      </c>
      <c r="BS86" s="166">
        <v>0</v>
      </c>
      <c r="BT86" s="167">
        <v>0</v>
      </c>
      <c r="BU86" s="168">
        <v>0</v>
      </c>
      <c r="BV86" s="163">
        <v>0</v>
      </c>
      <c r="BW86" s="164">
        <v>0</v>
      </c>
      <c r="BX86" s="165">
        <v>0</v>
      </c>
      <c r="BY86" s="166">
        <v>0</v>
      </c>
      <c r="BZ86" s="167">
        <v>0</v>
      </c>
      <c r="CA86" s="168">
        <v>0</v>
      </c>
      <c r="CB86" s="163">
        <v>0</v>
      </c>
      <c r="CC86" s="164">
        <v>0</v>
      </c>
      <c r="CD86" s="165">
        <v>0</v>
      </c>
      <c r="CE86" s="166">
        <v>0</v>
      </c>
      <c r="CF86" s="167">
        <v>0</v>
      </c>
      <c r="CG86" s="168">
        <v>0</v>
      </c>
      <c r="CH86" s="163">
        <v>0</v>
      </c>
      <c r="CI86" s="164">
        <v>0</v>
      </c>
      <c r="CJ86" s="165">
        <v>0</v>
      </c>
      <c r="CK86" s="166">
        <v>0</v>
      </c>
      <c r="CL86" s="167">
        <v>0</v>
      </c>
      <c r="CM86" s="168">
        <v>0</v>
      </c>
      <c r="CN86" s="163">
        <v>0</v>
      </c>
      <c r="CO86" s="164">
        <v>0</v>
      </c>
      <c r="CP86" s="165">
        <v>0</v>
      </c>
      <c r="CQ86" s="166">
        <v>0</v>
      </c>
      <c r="CR86" s="167">
        <v>0</v>
      </c>
      <c r="CS86" s="168">
        <v>0</v>
      </c>
      <c r="CT86" s="163">
        <v>0</v>
      </c>
      <c r="CU86" s="164">
        <v>0</v>
      </c>
      <c r="CV86" s="165">
        <v>0</v>
      </c>
      <c r="CW86" s="166">
        <v>0</v>
      </c>
      <c r="CX86" s="167">
        <v>0</v>
      </c>
      <c r="CY86" s="168">
        <v>0</v>
      </c>
      <c r="CZ86" s="163">
        <v>0</v>
      </c>
      <c r="DA86" s="164">
        <v>0</v>
      </c>
      <c r="DB86" s="165">
        <v>0</v>
      </c>
      <c r="DC86" s="174"/>
      <c r="DD86" s="174"/>
      <c r="DE86" s="170"/>
      <c r="DF86" s="171"/>
      <c r="DG86" s="278"/>
      <c r="DH86" s="170"/>
    </row>
    <row r="87" spans="1:112" ht="24.75" customHeight="1">
      <c r="A87" s="200">
        <f>'Danh muc'!A87</f>
        <v>0</v>
      </c>
      <c r="B87" s="201">
        <f>'Danh muc'!B87</f>
        <v>0</v>
      </c>
      <c r="C87" s="259">
        <f>'Danh muc'!C87</f>
        <v>0</v>
      </c>
      <c r="D87" s="201">
        <f>'Danh muc'!E87</f>
        <v>0</v>
      </c>
      <c r="E87" s="202">
        <f t="shared" si="14"/>
        <v>0</v>
      </c>
      <c r="F87" s="202">
        <f t="shared" si="15"/>
        <v>0</v>
      </c>
      <c r="G87" s="202">
        <f t="shared" si="16"/>
        <v>0</v>
      </c>
      <c r="H87" s="203">
        <f t="shared" si="11"/>
        <v>0</v>
      </c>
      <c r="I87" s="204">
        <f t="shared" si="12"/>
        <v>0</v>
      </c>
      <c r="J87" s="203">
        <f t="shared" si="13"/>
        <v>0</v>
      </c>
      <c r="K87" s="205">
        <f t="shared" si="17"/>
        <v>0</v>
      </c>
      <c r="L87" s="206">
        <f t="shared" si="18"/>
        <v>0</v>
      </c>
      <c r="M87" s="207">
        <f t="shared" si="19"/>
        <v>0</v>
      </c>
      <c r="N87" s="163">
        <v>0</v>
      </c>
      <c r="O87" s="164">
        <v>0</v>
      </c>
      <c r="P87" s="165">
        <v>0</v>
      </c>
      <c r="Q87" s="166">
        <v>0</v>
      </c>
      <c r="R87" s="167">
        <v>0</v>
      </c>
      <c r="S87" s="168">
        <v>0</v>
      </c>
      <c r="T87" s="163">
        <v>0</v>
      </c>
      <c r="U87" s="164">
        <v>0</v>
      </c>
      <c r="V87" s="165">
        <v>0</v>
      </c>
      <c r="W87" s="166">
        <v>0</v>
      </c>
      <c r="X87" s="167">
        <v>0</v>
      </c>
      <c r="Y87" s="168">
        <v>0</v>
      </c>
      <c r="Z87" s="163">
        <v>0</v>
      </c>
      <c r="AA87" s="164">
        <v>0</v>
      </c>
      <c r="AB87" s="165">
        <v>0</v>
      </c>
      <c r="AC87" s="166">
        <v>0</v>
      </c>
      <c r="AD87" s="167">
        <v>0</v>
      </c>
      <c r="AE87" s="168">
        <v>0</v>
      </c>
      <c r="AF87" s="163">
        <v>0</v>
      </c>
      <c r="AG87" s="164">
        <v>0</v>
      </c>
      <c r="AH87" s="165">
        <v>0</v>
      </c>
      <c r="AI87" s="166">
        <v>0</v>
      </c>
      <c r="AJ87" s="167">
        <v>0</v>
      </c>
      <c r="AK87" s="168">
        <v>0</v>
      </c>
      <c r="AL87" s="163">
        <v>0</v>
      </c>
      <c r="AM87" s="164">
        <v>0</v>
      </c>
      <c r="AN87" s="165">
        <v>0</v>
      </c>
      <c r="AO87" s="166">
        <v>0</v>
      </c>
      <c r="AP87" s="167">
        <v>0</v>
      </c>
      <c r="AQ87" s="168">
        <v>0</v>
      </c>
      <c r="AR87" s="163">
        <v>0</v>
      </c>
      <c r="AS87" s="164">
        <v>0</v>
      </c>
      <c r="AT87" s="165">
        <v>0</v>
      </c>
      <c r="AU87" s="166"/>
      <c r="AV87" s="167"/>
      <c r="AW87" s="168"/>
      <c r="AX87" s="163">
        <v>0</v>
      </c>
      <c r="AY87" s="164">
        <v>0</v>
      </c>
      <c r="AZ87" s="165">
        <v>0</v>
      </c>
      <c r="BA87" s="166">
        <v>0</v>
      </c>
      <c r="BB87" s="167">
        <v>0</v>
      </c>
      <c r="BC87" s="168">
        <v>0</v>
      </c>
      <c r="BD87" s="163">
        <v>0</v>
      </c>
      <c r="BE87" s="164">
        <v>0</v>
      </c>
      <c r="BF87" s="165">
        <v>0</v>
      </c>
      <c r="BG87" s="166">
        <v>0</v>
      </c>
      <c r="BH87" s="167">
        <v>0</v>
      </c>
      <c r="BI87" s="168">
        <v>0</v>
      </c>
      <c r="BJ87" s="163">
        <v>0</v>
      </c>
      <c r="BK87" s="164">
        <v>0</v>
      </c>
      <c r="BL87" s="165">
        <v>0</v>
      </c>
      <c r="BM87" s="166">
        <v>0</v>
      </c>
      <c r="BN87" s="167">
        <v>0</v>
      </c>
      <c r="BO87" s="168">
        <v>0</v>
      </c>
      <c r="BP87" s="163">
        <v>0</v>
      </c>
      <c r="BQ87" s="164">
        <v>0</v>
      </c>
      <c r="BR87" s="165">
        <v>0</v>
      </c>
      <c r="BS87" s="166">
        <v>0</v>
      </c>
      <c r="BT87" s="167">
        <v>0</v>
      </c>
      <c r="BU87" s="168">
        <v>0</v>
      </c>
      <c r="BV87" s="163">
        <v>0</v>
      </c>
      <c r="BW87" s="164">
        <v>0</v>
      </c>
      <c r="BX87" s="165">
        <v>0</v>
      </c>
      <c r="BY87" s="166">
        <v>0</v>
      </c>
      <c r="BZ87" s="167">
        <v>0</v>
      </c>
      <c r="CA87" s="168">
        <v>0</v>
      </c>
      <c r="CB87" s="163">
        <v>0</v>
      </c>
      <c r="CC87" s="164">
        <v>0</v>
      </c>
      <c r="CD87" s="165">
        <v>0</v>
      </c>
      <c r="CE87" s="166">
        <v>0</v>
      </c>
      <c r="CF87" s="167">
        <v>0</v>
      </c>
      <c r="CG87" s="168">
        <v>0</v>
      </c>
      <c r="CH87" s="163">
        <v>0</v>
      </c>
      <c r="CI87" s="164">
        <v>0</v>
      </c>
      <c r="CJ87" s="165">
        <v>0</v>
      </c>
      <c r="CK87" s="166">
        <v>0</v>
      </c>
      <c r="CL87" s="167">
        <v>0</v>
      </c>
      <c r="CM87" s="168">
        <v>0</v>
      </c>
      <c r="CN87" s="163">
        <v>0</v>
      </c>
      <c r="CO87" s="164">
        <v>0</v>
      </c>
      <c r="CP87" s="165">
        <v>0</v>
      </c>
      <c r="CQ87" s="166">
        <v>0</v>
      </c>
      <c r="CR87" s="167">
        <v>0</v>
      </c>
      <c r="CS87" s="168">
        <v>0</v>
      </c>
      <c r="CT87" s="163">
        <v>0</v>
      </c>
      <c r="CU87" s="164">
        <v>0</v>
      </c>
      <c r="CV87" s="165">
        <v>0</v>
      </c>
      <c r="CW87" s="166">
        <v>0</v>
      </c>
      <c r="CX87" s="167">
        <v>0</v>
      </c>
      <c r="CY87" s="168">
        <v>0</v>
      </c>
      <c r="CZ87" s="163">
        <v>0</v>
      </c>
      <c r="DA87" s="164">
        <v>0</v>
      </c>
      <c r="DB87" s="165">
        <v>0</v>
      </c>
      <c r="DC87" s="174"/>
      <c r="DD87" s="174"/>
      <c r="DE87" s="170"/>
      <c r="DF87" s="171"/>
      <c r="DG87" s="278"/>
      <c r="DH87" s="170"/>
    </row>
    <row r="88" spans="1:112" ht="24.75" customHeight="1">
      <c r="A88" s="200">
        <f>'Danh muc'!A88</f>
        <v>0</v>
      </c>
      <c r="B88" s="201">
        <f>'Danh muc'!B88</f>
        <v>0</v>
      </c>
      <c r="C88" s="259">
        <f>'Danh muc'!C88</f>
        <v>0</v>
      </c>
      <c r="D88" s="201">
        <f>'Danh muc'!E88</f>
        <v>0</v>
      </c>
      <c r="E88" s="202">
        <f t="shared" si="14"/>
        <v>0</v>
      </c>
      <c r="F88" s="202">
        <f t="shared" si="15"/>
        <v>0</v>
      </c>
      <c r="G88" s="202">
        <f t="shared" si="16"/>
        <v>0</v>
      </c>
      <c r="H88" s="203">
        <f t="shared" si="11"/>
        <v>0</v>
      </c>
      <c r="I88" s="204">
        <f t="shared" si="12"/>
        <v>0</v>
      </c>
      <c r="J88" s="203">
        <f t="shared" si="13"/>
        <v>0</v>
      </c>
      <c r="K88" s="205">
        <f t="shared" si="17"/>
        <v>0</v>
      </c>
      <c r="L88" s="206">
        <f t="shared" si="18"/>
        <v>0</v>
      </c>
      <c r="M88" s="207">
        <f t="shared" si="19"/>
        <v>0</v>
      </c>
      <c r="N88" s="163">
        <v>0</v>
      </c>
      <c r="O88" s="164">
        <v>0</v>
      </c>
      <c r="P88" s="165">
        <v>0</v>
      </c>
      <c r="Q88" s="166">
        <v>0</v>
      </c>
      <c r="R88" s="167">
        <v>0</v>
      </c>
      <c r="S88" s="168">
        <v>0</v>
      </c>
      <c r="T88" s="163">
        <v>0</v>
      </c>
      <c r="U88" s="164">
        <v>0</v>
      </c>
      <c r="V88" s="165">
        <v>0</v>
      </c>
      <c r="W88" s="166">
        <v>0</v>
      </c>
      <c r="X88" s="167">
        <v>0</v>
      </c>
      <c r="Y88" s="168">
        <v>0</v>
      </c>
      <c r="Z88" s="163">
        <v>0</v>
      </c>
      <c r="AA88" s="164">
        <v>0</v>
      </c>
      <c r="AB88" s="165">
        <v>0</v>
      </c>
      <c r="AC88" s="166">
        <v>0</v>
      </c>
      <c r="AD88" s="167">
        <v>0</v>
      </c>
      <c r="AE88" s="168">
        <v>0</v>
      </c>
      <c r="AF88" s="163">
        <v>0</v>
      </c>
      <c r="AG88" s="164">
        <v>0</v>
      </c>
      <c r="AH88" s="165">
        <v>0</v>
      </c>
      <c r="AI88" s="166">
        <v>0</v>
      </c>
      <c r="AJ88" s="167">
        <v>0</v>
      </c>
      <c r="AK88" s="168">
        <v>0</v>
      </c>
      <c r="AL88" s="163">
        <v>0</v>
      </c>
      <c r="AM88" s="164">
        <v>0</v>
      </c>
      <c r="AN88" s="165">
        <v>0</v>
      </c>
      <c r="AO88" s="166">
        <v>0</v>
      </c>
      <c r="AP88" s="167">
        <v>0</v>
      </c>
      <c r="AQ88" s="168">
        <v>0</v>
      </c>
      <c r="AR88" s="163">
        <v>0</v>
      </c>
      <c r="AS88" s="164">
        <v>0</v>
      </c>
      <c r="AT88" s="165">
        <v>0</v>
      </c>
      <c r="AU88" s="166">
        <v>0</v>
      </c>
      <c r="AV88" s="167">
        <v>0</v>
      </c>
      <c r="AW88" s="168">
        <v>0</v>
      </c>
      <c r="AX88" s="163">
        <v>0</v>
      </c>
      <c r="AY88" s="164">
        <v>0</v>
      </c>
      <c r="AZ88" s="165">
        <v>0</v>
      </c>
      <c r="BA88" s="166">
        <v>0</v>
      </c>
      <c r="BB88" s="167">
        <v>0</v>
      </c>
      <c r="BC88" s="168">
        <v>0</v>
      </c>
      <c r="BD88" s="163">
        <v>0</v>
      </c>
      <c r="BE88" s="164">
        <v>0</v>
      </c>
      <c r="BF88" s="165">
        <v>0</v>
      </c>
      <c r="BG88" s="166">
        <v>0</v>
      </c>
      <c r="BH88" s="167">
        <v>0</v>
      </c>
      <c r="BI88" s="168">
        <v>0</v>
      </c>
      <c r="BJ88" s="163">
        <v>0</v>
      </c>
      <c r="BK88" s="164">
        <v>0</v>
      </c>
      <c r="BL88" s="165">
        <v>0</v>
      </c>
      <c r="BM88" s="166">
        <v>0</v>
      </c>
      <c r="BN88" s="167">
        <v>0</v>
      </c>
      <c r="BO88" s="168">
        <v>0</v>
      </c>
      <c r="BP88" s="163">
        <v>0</v>
      </c>
      <c r="BQ88" s="164">
        <v>0</v>
      </c>
      <c r="BR88" s="165">
        <v>0</v>
      </c>
      <c r="BS88" s="166">
        <v>0</v>
      </c>
      <c r="BT88" s="167">
        <v>0</v>
      </c>
      <c r="BU88" s="168">
        <v>0</v>
      </c>
      <c r="BV88" s="163">
        <v>0</v>
      </c>
      <c r="BW88" s="164">
        <v>0</v>
      </c>
      <c r="BX88" s="165">
        <v>0</v>
      </c>
      <c r="BY88" s="166">
        <v>0</v>
      </c>
      <c r="BZ88" s="167">
        <v>0</v>
      </c>
      <c r="CA88" s="168">
        <v>0</v>
      </c>
      <c r="CB88" s="163">
        <v>0</v>
      </c>
      <c r="CC88" s="164">
        <v>0</v>
      </c>
      <c r="CD88" s="165">
        <v>0</v>
      </c>
      <c r="CE88" s="166">
        <v>0</v>
      </c>
      <c r="CF88" s="167">
        <v>0</v>
      </c>
      <c r="CG88" s="168">
        <v>0</v>
      </c>
      <c r="CH88" s="163">
        <v>0</v>
      </c>
      <c r="CI88" s="164">
        <v>0</v>
      </c>
      <c r="CJ88" s="165">
        <v>0</v>
      </c>
      <c r="CK88" s="166">
        <v>0</v>
      </c>
      <c r="CL88" s="167">
        <v>0</v>
      </c>
      <c r="CM88" s="168">
        <v>0</v>
      </c>
      <c r="CN88" s="163">
        <v>0</v>
      </c>
      <c r="CO88" s="164">
        <v>0</v>
      </c>
      <c r="CP88" s="165">
        <v>0</v>
      </c>
      <c r="CQ88" s="166">
        <v>0</v>
      </c>
      <c r="CR88" s="167">
        <v>0</v>
      </c>
      <c r="CS88" s="168">
        <v>0</v>
      </c>
      <c r="CT88" s="163">
        <v>0</v>
      </c>
      <c r="CU88" s="164">
        <v>0</v>
      </c>
      <c r="CV88" s="165">
        <v>0</v>
      </c>
      <c r="CW88" s="166">
        <v>0</v>
      </c>
      <c r="CX88" s="167">
        <v>0</v>
      </c>
      <c r="CY88" s="168">
        <v>0</v>
      </c>
      <c r="CZ88" s="163">
        <v>0</v>
      </c>
      <c r="DA88" s="164">
        <v>0</v>
      </c>
      <c r="DB88" s="165">
        <v>0</v>
      </c>
      <c r="DC88" s="174"/>
      <c r="DD88" s="174"/>
      <c r="DE88" s="170"/>
      <c r="DF88" s="171"/>
      <c r="DG88" s="278"/>
      <c r="DH88" s="170"/>
    </row>
    <row r="89" spans="1:112" ht="24.75" customHeight="1">
      <c r="A89" s="200">
        <f>'Danh muc'!A89</f>
        <v>0</v>
      </c>
      <c r="B89" s="201">
        <f>'Danh muc'!B89</f>
        <v>0</v>
      </c>
      <c r="C89" s="259">
        <f>'Danh muc'!C89</f>
        <v>0</v>
      </c>
      <c r="D89" s="201">
        <f>'Danh muc'!E89</f>
        <v>0</v>
      </c>
      <c r="E89" s="202">
        <f t="shared" si="14"/>
        <v>0</v>
      </c>
      <c r="F89" s="202">
        <f t="shared" si="15"/>
        <v>0</v>
      </c>
      <c r="G89" s="202">
        <f t="shared" si="16"/>
        <v>0</v>
      </c>
      <c r="H89" s="203">
        <f t="shared" si="11"/>
        <v>0</v>
      </c>
      <c r="I89" s="204">
        <f t="shared" si="12"/>
        <v>0</v>
      </c>
      <c r="J89" s="203">
        <f t="shared" si="13"/>
        <v>0</v>
      </c>
      <c r="K89" s="205">
        <f t="shared" si="17"/>
        <v>0</v>
      </c>
      <c r="L89" s="206">
        <f t="shared" si="18"/>
        <v>0</v>
      </c>
      <c r="M89" s="207">
        <f t="shared" si="19"/>
        <v>0</v>
      </c>
      <c r="N89" s="163">
        <v>0</v>
      </c>
      <c r="O89" s="164">
        <v>0</v>
      </c>
      <c r="P89" s="165">
        <v>0</v>
      </c>
      <c r="Q89" s="166">
        <v>0</v>
      </c>
      <c r="R89" s="167">
        <v>0</v>
      </c>
      <c r="S89" s="168">
        <v>0</v>
      </c>
      <c r="T89" s="163">
        <v>0</v>
      </c>
      <c r="U89" s="164">
        <v>0</v>
      </c>
      <c r="V89" s="165">
        <v>0</v>
      </c>
      <c r="W89" s="166">
        <v>0</v>
      </c>
      <c r="X89" s="167">
        <v>0</v>
      </c>
      <c r="Y89" s="168">
        <v>0</v>
      </c>
      <c r="Z89" s="163">
        <v>0</v>
      </c>
      <c r="AA89" s="164">
        <v>0</v>
      </c>
      <c r="AB89" s="165">
        <v>0</v>
      </c>
      <c r="AC89" s="166">
        <v>0</v>
      </c>
      <c r="AD89" s="167">
        <v>0</v>
      </c>
      <c r="AE89" s="168">
        <v>0</v>
      </c>
      <c r="AF89" s="163">
        <v>0</v>
      </c>
      <c r="AG89" s="164">
        <v>0</v>
      </c>
      <c r="AH89" s="165">
        <v>0</v>
      </c>
      <c r="AI89" s="166">
        <v>0</v>
      </c>
      <c r="AJ89" s="167">
        <v>0</v>
      </c>
      <c r="AK89" s="168">
        <v>0</v>
      </c>
      <c r="AL89" s="163">
        <v>0</v>
      </c>
      <c r="AM89" s="164">
        <v>0</v>
      </c>
      <c r="AN89" s="165">
        <v>0</v>
      </c>
      <c r="AO89" s="166">
        <v>0</v>
      </c>
      <c r="AP89" s="167">
        <v>0</v>
      </c>
      <c r="AQ89" s="168">
        <v>0</v>
      </c>
      <c r="AR89" s="163">
        <v>0</v>
      </c>
      <c r="AS89" s="164">
        <v>0</v>
      </c>
      <c r="AT89" s="165">
        <v>0</v>
      </c>
      <c r="AU89" s="166">
        <v>0</v>
      </c>
      <c r="AV89" s="167">
        <v>0</v>
      </c>
      <c r="AW89" s="168">
        <v>0</v>
      </c>
      <c r="AX89" s="163">
        <v>0</v>
      </c>
      <c r="AY89" s="164">
        <v>0</v>
      </c>
      <c r="AZ89" s="165">
        <v>0</v>
      </c>
      <c r="BA89" s="166">
        <v>0</v>
      </c>
      <c r="BB89" s="167">
        <v>0</v>
      </c>
      <c r="BC89" s="168">
        <v>0</v>
      </c>
      <c r="BD89" s="163">
        <v>0</v>
      </c>
      <c r="BE89" s="164">
        <v>0</v>
      </c>
      <c r="BF89" s="165">
        <v>0</v>
      </c>
      <c r="BG89" s="166">
        <v>0</v>
      </c>
      <c r="BH89" s="167">
        <v>0</v>
      </c>
      <c r="BI89" s="168">
        <v>0</v>
      </c>
      <c r="BJ89" s="163">
        <v>0</v>
      </c>
      <c r="BK89" s="164">
        <v>0</v>
      </c>
      <c r="BL89" s="165">
        <v>0</v>
      </c>
      <c r="BM89" s="166">
        <v>0</v>
      </c>
      <c r="BN89" s="167">
        <v>0</v>
      </c>
      <c r="BO89" s="168">
        <v>0</v>
      </c>
      <c r="BP89" s="163">
        <v>0</v>
      </c>
      <c r="BQ89" s="164">
        <v>0</v>
      </c>
      <c r="BR89" s="165">
        <v>0</v>
      </c>
      <c r="BS89" s="166">
        <v>0</v>
      </c>
      <c r="BT89" s="167">
        <v>0</v>
      </c>
      <c r="BU89" s="168">
        <v>0</v>
      </c>
      <c r="BV89" s="163">
        <v>0</v>
      </c>
      <c r="BW89" s="164">
        <v>0</v>
      </c>
      <c r="BX89" s="165">
        <v>0</v>
      </c>
      <c r="BY89" s="166">
        <v>0</v>
      </c>
      <c r="BZ89" s="167">
        <v>0</v>
      </c>
      <c r="CA89" s="168">
        <v>0</v>
      </c>
      <c r="CB89" s="163">
        <v>0</v>
      </c>
      <c r="CC89" s="164">
        <v>0</v>
      </c>
      <c r="CD89" s="165">
        <v>0</v>
      </c>
      <c r="CE89" s="166">
        <v>0</v>
      </c>
      <c r="CF89" s="167">
        <v>0</v>
      </c>
      <c r="CG89" s="168">
        <v>0</v>
      </c>
      <c r="CH89" s="163">
        <v>0</v>
      </c>
      <c r="CI89" s="164">
        <v>0</v>
      </c>
      <c r="CJ89" s="165">
        <v>0</v>
      </c>
      <c r="CK89" s="166">
        <v>0</v>
      </c>
      <c r="CL89" s="167">
        <v>0</v>
      </c>
      <c r="CM89" s="168">
        <v>0</v>
      </c>
      <c r="CN89" s="163">
        <v>0</v>
      </c>
      <c r="CO89" s="164">
        <v>0</v>
      </c>
      <c r="CP89" s="165">
        <v>0</v>
      </c>
      <c r="CQ89" s="166">
        <v>0</v>
      </c>
      <c r="CR89" s="167">
        <v>0</v>
      </c>
      <c r="CS89" s="168">
        <v>0</v>
      </c>
      <c r="CT89" s="163">
        <v>0</v>
      </c>
      <c r="CU89" s="164">
        <v>0</v>
      </c>
      <c r="CV89" s="165">
        <v>0</v>
      </c>
      <c r="CW89" s="166">
        <v>0</v>
      </c>
      <c r="CX89" s="167">
        <v>0</v>
      </c>
      <c r="CY89" s="168">
        <v>0</v>
      </c>
      <c r="CZ89" s="163">
        <v>0</v>
      </c>
      <c r="DA89" s="164">
        <v>0</v>
      </c>
      <c r="DB89" s="165">
        <v>0</v>
      </c>
      <c r="DC89" s="174"/>
      <c r="DD89" s="174"/>
      <c r="DE89" s="170"/>
      <c r="DF89" s="171"/>
      <c r="DG89" s="278"/>
      <c r="DH89" s="170"/>
    </row>
    <row r="90" spans="1:112" ht="24.75" customHeight="1">
      <c r="A90" s="200">
        <f>'Danh muc'!A90</f>
        <v>0</v>
      </c>
      <c r="B90" s="201">
        <f>'Danh muc'!B90</f>
        <v>0</v>
      </c>
      <c r="C90" s="208">
        <f>'Danh muc'!C90</f>
        <v>0</v>
      </c>
      <c r="D90" s="201">
        <f>'Danh muc'!E90</f>
        <v>0</v>
      </c>
      <c r="E90" s="202">
        <f t="shared" si="14"/>
        <v>0</v>
      </c>
      <c r="F90" s="202">
        <f t="shared" si="15"/>
        <v>0</v>
      </c>
      <c r="G90" s="202">
        <f t="shared" si="16"/>
        <v>0</v>
      </c>
      <c r="H90" s="203">
        <f t="shared" si="11"/>
        <v>0</v>
      </c>
      <c r="I90" s="204">
        <f t="shared" si="12"/>
        <v>0</v>
      </c>
      <c r="J90" s="203">
        <f t="shared" si="13"/>
        <v>0</v>
      </c>
      <c r="K90" s="205">
        <f t="shared" si="17"/>
        <v>0</v>
      </c>
      <c r="L90" s="206">
        <f t="shared" si="18"/>
        <v>0</v>
      </c>
      <c r="M90" s="207">
        <f t="shared" si="19"/>
        <v>0</v>
      </c>
      <c r="N90" s="163">
        <v>0</v>
      </c>
      <c r="O90" s="164">
        <v>0</v>
      </c>
      <c r="P90" s="165">
        <v>0</v>
      </c>
      <c r="Q90" s="166">
        <v>0</v>
      </c>
      <c r="R90" s="167">
        <v>0</v>
      </c>
      <c r="S90" s="168">
        <v>0</v>
      </c>
      <c r="T90" s="163">
        <v>0</v>
      </c>
      <c r="U90" s="164">
        <v>0</v>
      </c>
      <c r="V90" s="165">
        <v>0</v>
      </c>
      <c r="W90" s="166">
        <v>0</v>
      </c>
      <c r="X90" s="167">
        <v>0</v>
      </c>
      <c r="Y90" s="168">
        <v>0</v>
      </c>
      <c r="Z90" s="163">
        <v>0</v>
      </c>
      <c r="AA90" s="164">
        <v>0</v>
      </c>
      <c r="AB90" s="165">
        <v>0</v>
      </c>
      <c r="AC90" s="166">
        <v>0</v>
      </c>
      <c r="AD90" s="167">
        <v>0</v>
      </c>
      <c r="AE90" s="168">
        <v>0</v>
      </c>
      <c r="AF90" s="163">
        <v>0</v>
      </c>
      <c r="AG90" s="164">
        <v>0</v>
      </c>
      <c r="AH90" s="165">
        <v>0</v>
      </c>
      <c r="AI90" s="166">
        <v>0</v>
      </c>
      <c r="AJ90" s="167">
        <v>0</v>
      </c>
      <c r="AK90" s="168">
        <v>0</v>
      </c>
      <c r="AL90" s="163">
        <v>0</v>
      </c>
      <c r="AM90" s="164">
        <v>0</v>
      </c>
      <c r="AN90" s="165">
        <v>0</v>
      </c>
      <c r="AO90" s="166">
        <v>0</v>
      </c>
      <c r="AP90" s="167">
        <v>0</v>
      </c>
      <c r="AQ90" s="168">
        <v>0</v>
      </c>
      <c r="AR90" s="163">
        <v>0</v>
      </c>
      <c r="AS90" s="164">
        <v>0</v>
      </c>
      <c r="AT90" s="165">
        <v>0</v>
      </c>
      <c r="AU90" s="166">
        <v>0</v>
      </c>
      <c r="AV90" s="167">
        <v>0</v>
      </c>
      <c r="AW90" s="168">
        <v>0</v>
      </c>
      <c r="AX90" s="163">
        <v>0</v>
      </c>
      <c r="AY90" s="164">
        <v>0</v>
      </c>
      <c r="AZ90" s="165">
        <v>0</v>
      </c>
      <c r="BA90" s="166">
        <v>0</v>
      </c>
      <c r="BB90" s="167">
        <v>0</v>
      </c>
      <c r="BC90" s="168">
        <v>0</v>
      </c>
      <c r="BD90" s="163">
        <v>0</v>
      </c>
      <c r="BE90" s="164">
        <v>0</v>
      </c>
      <c r="BF90" s="165">
        <v>0</v>
      </c>
      <c r="BG90" s="166">
        <v>0</v>
      </c>
      <c r="BH90" s="167">
        <v>0</v>
      </c>
      <c r="BI90" s="168">
        <v>0</v>
      </c>
      <c r="BJ90" s="163">
        <v>0</v>
      </c>
      <c r="BK90" s="164">
        <v>0</v>
      </c>
      <c r="BL90" s="165">
        <v>0</v>
      </c>
      <c r="BM90" s="166">
        <v>0</v>
      </c>
      <c r="BN90" s="167">
        <v>0</v>
      </c>
      <c r="BO90" s="168">
        <v>0</v>
      </c>
      <c r="BP90" s="163">
        <v>0</v>
      </c>
      <c r="BQ90" s="164">
        <v>0</v>
      </c>
      <c r="BR90" s="165">
        <v>0</v>
      </c>
      <c r="BS90" s="166">
        <v>0</v>
      </c>
      <c r="BT90" s="167">
        <v>0</v>
      </c>
      <c r="BU90" s="168">
        <v>0</v>
      </c>
      <c r="BV90" s="163">
        <v>0</v>
      </c>
      <c r="BW90" s="164">
        <v>0</v>
      </c>
      <c r="BX90" s="165">
        <v>0</v>
      </c>
      <c r="BY90" s="166">
        <v>0</v>
      </c>
      <c r="BZ90" s="167">
        <v>0</v>
      </c>
      <c r="CA90" s="168">
        <v>0</v>
      </c>
      <c r="CB90" s="163">
        <v>0</v>
      </c>
      <c r="CC90" s="164">
        <v>0</v>
      </c>
      <c r="CD90" s="165">
        <v>0</v>
      </c>
      <c r="CE90" s="166">
        <v>0</v>
      </c>
      <c r="CF90" s="167">
        <v>0</v>
      </c>
      <c r="CG90" s="168">
        <v>0</v>
      </c>
      <c r="CH90" s="163">
        <v>0</v>
      </c>
      <c r="CI90" s="164">
        <v>0</v>
      </c>
      <c r="CJ90" s="165">
        <v>0</v>
      </c>
      <c r="CK90" s="166">
        <v>0</v>
      </c>
      <c r="CL90" s="167">
        <v>0</v>
      </c>
      <c r="CM90" s="168">
        <v>0</v>
      </c>
      <c r="CN90" s="163">
        <v>0</v>
      </c>
      <c r="CO90" s="164">
        <v>0</v>
      </c>
      <c r="CP90" s="165">
        <v>0</v>
      </c>
      <c r="CQ90" s="166">
        <v>0</v>
      </c>
      <c r="CR90" s="167">
        <v>0</v>
      </c>
      <c r="CS90" s="168">
        <v>0</v>
      </c>
      <c r="CT90" s="163">
        <v>0</v>
      </c>
      <c r="CU90" s="164">
        <v>0</v>
      </c>
      <c r="CV90" s="165">
        <v>0</v>
      </c>
      <c r="CW90" s="166">
        <v>0</v>
      </c>
      <c r="CX90" s="167">
        <v>0</v>
      </c>
      <c r="CY90" s="168">
        <v>0</v>
      </c>
      <c r="CZ90" s="163">
        <v>0</v>
      </c>
      <c r="DA90" s="164">
        <v>0</v>
      </c>
      <c r="DB90" s="165">
        <v>0</v>
      </c>
      <c r="DC90" s="174"/>
      <c r="DD90" s="174"/>
      <c r="DE90" s="170"/>
      <c r="DF90" s="171"/>
      <c r="DG90" s="278"/>
      <c r="DH90" s="170"/>
    </row>
    <row r="91" spans="1:112" ht="24.75" customHeight="1">
      <c r="A91" s="200">
        <f>'Danh muc'!A91</f>
        <v>0</v>
      </c>
      <c r="B91" s="201">
        <f>'Danh muc'!B91</f>
        <v>0</v>
      </c>
      <c r="C91" s="208">
        <f>'Danh muc'!C91</f>
        <v>0</v>
      </c>
      <c r="D91" s="201">
        <f>'Danh muc'!E91</f>
        <v>0</v>
      </c>
      <c r="E91" s="202">
        <f t="shared" si="14"/>
        <v>0</v>
      </c>
      <c r="F91" s="202">
        <f t="shared" si="15"/>
        <v>0</v>
      </c>
      <c r="G91" s="202">
        <f t="shared" si="16"/>
        <v>0</v>
      </c>
      <c r="H91" s="203">
        <f t="shared" si="11"/>
        <v>0</v>
      </c>
      <c r="I91" s="204">
        <f t="shared" si="12"/>
        <v>0</v>
      </c>
      <c r="J91" s="203">
        <f t="shared" si="13"/>
        <v>0</v>
      </c>
      <c r="K91" s="205">
        <f t="shared" si="17"/>
        <v>0</v>
      </c>
      <c r="L91" s="206">
        <f t="shared" si="18"/>
        <v>0</v>
      </c>
      <c r="M91" s="207">
        <f t="shared" si="19"/>
        <v>0</v>
      </c>
      <c r="N91" s="163">
        <v>0</v>
      </c>
      <c r="O91" s="164">
        <v>0</v>
      </c>
      <c r="P91" s="165">
        <v>0</v>
      </c>
      <c r="Q91" s="166">
        <v>0</v>
      </c>
      <c r="R91" s="167">
        <v>0</v>
      </c>
      <c r="S91" s="168">
        <v>0</v>
      </c>
      <c r="T91" s="163">
        <v>0</v>
      </c>
      <c r="U91" s="164">
        <v>0</v>
      </c>
      <c r="V91" s="165">
        <v>0</v>
      </c>
      <c r="W91" s="166">
        <v>0</v>
      </c>
      <c r="X91" s="167">
        <v>0</v>
      </c>
      <c r="Y91" s="168">
        <v>0</v>
      </c>
      <c r="Z91" s="163">
        <v>0</v>
      </c>
      <c r="AA91" s="164">
        <v>0</v>
      </c>
      <c r="AB91" s="165">
        <v>0</v>
      </c>
      <c r="AC91" s="166">
        <v>0</v>
      </c>
      <c r="AD91" s="167">
        <v>0</v>
      </c>
      <c r="AE91" s="168">
        <v>0</v>
      </c>
      <c r="AF91" s="163">
        <v>0</v>
      </c>
      <c r="AG91" s="164">
        <v>0</v>
      </c>
      <c r="AH91" s="165">
        <v>0</v>
      </c>
      <c r="AI91" s="166">
        <v>0</v>
      </c>
      <c r="AJ91" s="167">
        <v>0</v>
      </c>
      <c r="AK91" s="168">
        <v>0</v>
      </c>
      <c r="AL91" s="163">
        <v>0</v>
      </c>
      <c r="AM91" s="164">
        <v>0</v>
      </c>
      <c r="AN91" s="165">
        <v>0</v>
      </c>
      <c r="AO91" s="166">
        <v>0</v>
      </c>
      <c r="AP91" s="167">
        <v>0</v>
      </c>
      <c r="AQ91" s="168">
        <v>0</v>
      </c>
      <c r="AR91" s="163">
        <v>0</v>
      </c>
      <c r="AS91" s="164">
        <v>0</v>
      </c>
      <c r="AT91" s="165">
        <v>0</v>
      </c>
      <c r="AU91" s="166">
        <v>0</v>
      </c>
      <c r="AV91" s="167">
        <v>0</v>
      </c>
      <c r="AW91" s="168">
        <v>0</v>
      </c>
      <c r="AX91" s="163">
        <v>0</v>
      </c>
      <c r="AY91" s="164">
        <v>0</v>
      </c>
      <c r="AZ91" s="165">
        <v>0</v>
      </c>
      <c r="BA91" s="166">
        <v>0</v>
      </c>
      <c r="BB91" s="167">
        <v>0</v>
      </c>
      <c r="BC91" s="168">
        <v>0</v>
      </c>
      <c r="BD91" s="163">
        <v>0</v>
      </c>
      <c r="BE91" s="164">
        <v>0</v>
      </c>
      <c r="BF91" s="165">
        <v>0</v>
      </c>
      <c r="BG91" s="166">
        <v>0</v>
      </c>
      <c r="BH91" s="167">
        <v>0</v>
      </c>
      <c r="BI91" s="168">
        <v>0</v>
      </c>
      <c r="BJ91" s="163">
        <v>0</v>
      </c>
      <c r="BK91" s="164">
        <v>0</v>
      </c>
      <c r="BL91" s="165">
        <v>0</v>
      </c>
      <c r="BM91" s="166">
        <v>0</v>
      </c>
      <c r="BN91" s="167">
        <v>0</v>
      </c>
      <c r="BO91" s="168">
        <v>0</v>
      </c>
      <c r="BP91" s="163">
        <v>0</v>
      </c>
      <c r="BQ91" s="164">
        <v>0</v>
      </c>
      <c r="BR91" s="165">
        <v>0</v>
      </c>
      <c r="BS91" s="166">
        <v>0</v>
      </c>
      <c r="BT91" s="167">
        <v>0</v>
      </c>
      <c r="BU91" s="168">
        <v>0</v>
      </c>
      <c r="BV91" s="163">
        <v>0</v>
      </c>
      <c r="BW91" s="164">
        <v>0</v>
      </c>
      <c r="BX91" s="165">
        <v>0</v>
      </c>
      <c r="BY91" s="166">
        <v>0</v>
      </c>
      <c r="BZ91" s="167">
        <v>0</v>
      </c>
      <c r="CA91" s="168">
        <v>0</v>
      </c>
      <c r="CB91" s="163">
        <v>0</v>
      </c>
      <c r="CC91" s="164">
        <v>0</v>
      </c>
      <c r="CD91" s="165">
        <v>0</v>
      </c>
      <c r="CE91" s="166">
        <v>0</v>
      </c>
      <c r="CF91" s="167">
        <v>0</v>
      </c>
      <c r="CG91" s="168">
        <v>0</v>
      </c>
      <c r="CH91" s="163">
        <v>0</v>
      </c>
      <c r="CI91" s="164">
        <v>0</v>
      </c>
      <c r="CJ91" s="165">
        <v>0</v>
      </c>
      <c r="CK91" s="166">
        <v>0</v>
      </c>
      <c r="CL91" s="167">
        <v>0</v>
      </c>
      <c r="CM91" s="168">
        <v>0</v>
      </c>
      <c r="CN91" s="163">
        <v>0</v>
      </c>
      <c r="CO91" s="164">
        <v>0</v>
      </c>
      <c r="CP91" s="165">
        <v>0</v>
      </c>
      <c r="CQ91" s="166">
        <v>0</v>
      </c>
      <c r="CR91" s="167">
        <v>0</v>
      </c>
      <c r="CS91" s="168">
        <v>0</v>
      </c>
      <c r="CT91" s="163">
        <v>0</v>
      </c>
      <c r="CU91" s="164">
        <v>0</v>
      </c>
      <c r="CV91" s="165">
        <v>0</v>
      </c>
      <c r="CW91" s="166">
        <v>0</v>
      </c>
      <c r="CX91" s="167">
        <v>0</v>
      </c>
      <c r="CY91" s="168">
        <v>0</v>
      </c>
      <c r="CZ91" s="163">
        <v>0</v>
      </c>
      <c r="DA91" s="164">
        <v>0</v>
      </c>
      <c r="DB91" s="165">
        <v>0</v>
      </c>
      <c r="DC91" s="174"/>
      <c r="DD91" s="174"/>
      <c r="DE91" s="170"/>
      <c r="DF91" s="171"/>
      <c r="DG91" s="278"/>
      <c r="DH91" s="170"/>
    </row>
    <row r="92" spans="1:112" ht="24.75" customHeight="1">
      <c r="A92" s="200">
        <f>'Danh muc'!A92</f>
        <v>0</v>
      </c>
      <c r="B92" s="201">
        <f>'Danh muc'!B92</f>
        <v>0</v>
      </c>
      <c r="C92" s="208">
        <f>'Danh muc'!C92</f>
        <v>0</v>
      </c>
      <c r="D92" s="201">
        <f>'Danh muc'!E92</f>
        <v>0</v>
      </c>
      <c r="E92" s="202">
        <f t="shared" si="14"/>
        <v>0</v>
      </c>
      <c r="F92" s="202">
        <f t="shared" si="15"/>
        <v>0</v>
      </c>
      <c r="G92" s="202">
        <f t="shared" si="16"/>
        <v>0</v>
      </c>
      <c r="H92" s="203">
        <f t="shared" si="11"/>
        <v>0</v>
      </c>
      <c r="I92" s="204">
        <f t="shared" si="12"/>
        <v>0</v>
      </c>
      <c r="J92" s="203">
        <f t="shared" si="13"/>
        <v>0</v>
      </c>
      <c r="K92" s="205">
        <f t="shared" si="17"/>
        <v>0</v>
      </c>
      <c r="L92" s="206">
        <f t="shared" si="18"/>
        <v>0</v>
      </c>
      <c r="M92" s="207">
        <f t="shared" si="19"/>
        <v>0</v>
      </c>
      <c r="N92" s="163">
        <v>0</v>
      </c>
      <c r="O92" s="164">
        <v>0</v>
      </c>
      <c r="P92" s="165">
        <v>0</v>
      </c>
      <c r="Q92" s="166">
        <v>0</v>
      </c>
      <c r="R92" s="167">
        <v>0</v>
      </c>
      <c r="S92" s="168">
        <v>0</v>
      </c>
      <c r="T92" s="163">
        <v>0</v>
      </c>
      <c r="U92" s="164">
        <v>0</v>
      </c>
      <c r="V92" s="165">
        <v>0</v>
      </c>
      <c r="W92" s="166">
        <v>0</v>
      </c>
      <c r="X92" s="167">
        <v>0</v>
      </c>
      <c r="Y92" s="168">
        <v>0</v>
      </c>
      <c r="Z92" s="163">
        <v>0</v>
      </c>
      <c r="AA92" s="164">
        <v>0</v>
      </c>
      <c r="AB92" s="165">
        <v>0</v>
      </c>
      <c r="AC92" s="166">
        <v>0</v>
      </c>
      <c r="AD92" s="167">
        <v>0</v>
      </c>
      <c r="AE92" s="168">
        <v>0</v>
      </c>
      <c r="AF92" s="163">
        <v>0</v>
      </c>
      <c r="AG92" s="164">
        <v>0</v>
      </c>
      <c r="AH92" s="165">
        <v>0</v>
      </c>
      <c r="AI92" s="166">
        <v>0</v>
      </c>
      <c r="AJ92" s="167">
        <v>0</v>
      </c>
      <c r="AK92" s="168">
        <v>0</v>
      </c>
      <c r="AL92" s="163">
        <v>0</v>
      </c>
      <c r="AM92" s="164">
        <v>0</v>
      </c>
      <c r="AN92" s="165">
        <v>0</v>
      </c>
      <c r="AO92" s="166">
        <v>0</v>
      </c>
      <c r="AP92" s="167">
        <v>0</v>
      </c>
      <c r="AQ92" s="168">
        <v>0</v>
      </c>
      <c r="AR92" s="163">
        <v>0</v>
      </c>
      <c r="AS92" s="164">
        <v>0</v>
      </c>
      <c r="AT92" s="165">
        <v>0</v>
      </c>
      <c r="AU92" s="166">
        <v>0</v>
      </c>
      <c r="AV92" s="167">
        <v>0</v>
      </c>
      <c r="AW92" s="168">
        <v>0</v>
      </c>
      <c r="AX92" s="163">
        <v>0</v>
      </c>
      <c r="AY92" s="164">
        <v>0</v>
      </c>
      <c r="AZ92" s="165">
        <v>0</v>
      </c>
      <c r="BA92" s="166">
        <v>0</v>
      </c>
      <c r="BB92" s="167">
        <v>0</v>
      </c>
      <c r="BC92" s="168">
        <v>0</v>
      </c>
      <c r="BD92" s="163">
        <v>0</v>
      </c>
      <c r="BE92" s="164">
        <v>0</v>
      </c>
      <c r="BF92" s="165">
        <v>0</v>
      </c>
      <c r="BG92" s="166">
        <v>0</v>
      </c>
      <c r="BH92" s="167">
        <v>0</v>
      </c>
      <c r="BI92" s="168">
        <v>0</v>
      </c>
      <c r="BJ92" s="163">
        <v>0</v>
      </c>
      <c r="BK92" s="164">
        <v>0</v>
      </c>
      <c r="BL92" s="165">
        <v>0</v>
      </c>
      <c r="BM92" s="166">
        <v>0</v>
      </c>
      <c r="BN92" s="167">
        <v>0</v>
      </c>
      <c r="BO92" s="168">
        <v>0</v>
      </c>
      <c r="BP92" s="163">
        <v>0</v>
      </c>
      <c r="BQ92" s="164">
        <v>0</v>
      </c>
      <c r="BR92" s="165">
        <v>0</v>
      </c>
      <c r="BS92" s="166">
        <v>0</v>
      </c>
      <c r="BT92" s="167">
        <v>0</v>
      </c>
      <c r="BU92" s="168">
        <v>0</v>
      </c>
      <c r="BV92" s="163">
        <v>0</v>
      </c>
      <c r="BW92" s="164">
        <v>0</v>
      </c>
      <c r="BX92" s="165">
        <v>0</v>
      </c>
      <c r="BY92" s="166">
        <v>0</v>
      </c>
      <c r="BZ92" s="167">
        <v>0</v>
      </c>
      <c r="CA92" s="168">
        <v>0</v>
      </c>
      <c r="CB92" s="163">
        <v>0</v>
      </c>
      <c r="CC92" s="164">
        <v>0</v>
      </c>
      <c r="CD92" s="165">
        <v>0</v>
      </c>
      <c r="CE92" s="166">
        <v>0</v>
      </c>
      <c r="CF92" s="167">
        <v>0</v>
      </c>
      <c r="CG92" s="168">
        <v>0</v>
      </c>
      <c r="CH92" s="163">
        <v>0</v>
      </c>
      <c r="CI92" s="164">
        <v>0</v>
      </c>
      <c r="CJ92" s="165">
        <v>0</v>
      </c>
      <c r="CK92" s="166">
        <v>0</v>
      </c>
      <c r="CL92" s="167">
        <v>0</v>
      </c>
      <c r="CM92" s="168">
        <v>0</v>
      </c>
      <c r="CN92" s="163">
        <v>0</v>
      </c>
      <c r="CO92" s="164">
        <v>0</v>
      </c>
      <c r="CP92" s="165">
        <v>0</v>
      </c>
      <c r="CQ92" s="166">
        <v>0</v>
      </c>
      <c r="CR92" s="167">
        <v>0</v>
      </c>
      <c r="CS92" s="168">
        <v>0</v>
      </c>
      <c r="CT92" s="163">
        <v>0</v>
      </c>
      <c r="CU92" s="164">
        <v>0</v>
      </c>
      <c r="CV92" s="165">
        <v>0</v>
      </c>
      <c r="CW92" s="166">
        <v>0</v>
      </c>
      <c r="CX92" s="167">
        <v>0</v>
      </c>
      <c r="CY92" s="168">
        <v>0</v>
      </c>
      <c r="CZ92" s="163">
        <v>0</v>
      </c>
      <c r="DA92" s="164">
        <v>0</v>
      </c>
      <c r="DB92" s="165">
        <v>0</v>
      </c>
      <c r="DC92" s="174"/>
      <c r="DD92" s="174"/>
      <c r="DE92" s="170"/>
      <c r="DF92" s="171"/>
      <c r="DG92" s="278"/>
      <c r="DH92" s="170"/>
    </row>
    <row r="93" spans="1:112" ht="24.75" customHeight="1">
      <c r="A93" s="200">
        <f>'Danh muc'!A93</f>
        <v>0</v>
      </c>
      <c r="B93" s="201">
        <f>'Danh muc'!B93</f>
        <v>0</v>
      </c>
      <c r="C93" s="208">
        <f>'Danh muc'!C93</f>
        <v>0</v>
      </c>
      <c r="D93" s="201">
        <f>'Danh muc'!E93</f>
        <v>0</v>
      </c>
      <c r="E93" s="202">
        <f t="shared" si="14"/>
        <v>0</v>
      </c>
      <c r="F93" s="202">
        <f t="shared" si="15"/>
        <v>0</v>
      </c>
      <c r="G93" s="202">
        <f t="shared" si="16"/>
        <v>0</v>
      </c>
      <c r="H93" s="203">
        <f t="shared" si="11"/>
        <v>0</v>
      </c>
      <c r="I93" s="204">
        <f t="shared" si="12"/>
        <v>0</v>
      </c>
      <c r="J93" s="203">
        <f t="shared" si="13"/>
        <v>0</v>
      </c>
      <c r="K93" s="205">
        <f t="shared" si="17"/>
        <v>0</v>
      </c>
      <c r="L93" s="206">
        <f t="shared" si="18"/>
        <v>0</v>
      </c>
      <c r="M93" s="207">
        <f t="shared" si="19"/>
        <v>0</v>
      </c>
      <c r="N93" s="163">
        <v>0</v>
      </c>
      <c r="O93" s="164">
        <v>0</v>
      </c>
      <c r="P93" s="165">
        <v>0</v>
      </c>
      <c r="Q93" s="166">
        <v>0</v>
      </c>
      <c r="R93" s="167">
        <v>0</v>
      </c>
      <c r="S93" s="168">
        <v>0</v>
      </c>
      <c r="T93" s="163">
        <v>0</v>
      </c>
      <c r="U93" s="164">
        <v>0</v>
      </c>
      <c r="V93" s="165">
        <v>0</v>
      </c>
      <c r="W93" s="166">
        <v>0</v>
      </c>
      <c r="X93" s="167">
        <v>0</v>
      </c>
      <c r="Y93" s="168">
        <v>0</v>
      </c>
      <c r="Z93" s="163">
        <v>0</v>
      </c>
      <c r="AA93" s="164">
        <v>0</v>
      </c>
      <c r="AB93" s="165">
        <v>0</v>
      </c>
      <c r="AC93" s="166">
        <v>0</v>
      </c>
      <c r="AD93" s="167">
        <v>0</v>
      </c>
      <c r="AE93" s="168">
        <v>0</v>
      </c>
      <c r="AF93" s="163">
        <v>0</v>
      </c>
      <c r="AG93" s="164">
        <v>0</v>
      </c>
      <c r="AH93" s="165">
        <v>0</v>
      </c>
      <c r="AI93" s="166">
        <v>0</v>
      </c>
      <c r="AJ93" s="167">
        <v>0</v>
      </c>
      <c r="AK93" s="168">
        <v>0</v>
      </c>
      <c r="AL93" s="163">
        <v>0</v>
      </c>
      <c r="AM93" s="164">
        <v>0</v>
      </c>
      <c r="AN93" s="165">
        <v>0</v>
      </c>
      <c r="AO93" s="166">
        <v>0</v>
      </c>
      <c r="AP93" s="167">
        <v>0</v>
      </c>
      <c r="AQ93" s="168">
        <v>0</v>
      </c>
      <c r="AR93" s="163">
        <v>0</v>
      </c>
      <c r="AS93" s="164">
        <v>0</v>
      </c>
      <c r="AT93" s="165">
        <v>0</v>
      </c>
      <c r="AU93" s="166">
        <v>0</v>
      </c>
      <c r="AV93" s="167">
        <v>0</v>
      </c>
      <c r="AW93" s="168">
        <v>0</v>
      </c>
      <c r="AX93" s="163">
        <v>0</v>
      </c>
      <c r="AY93" s="164">
        <v>0</v>
      </c>
      <c r="AZ93" s="165">
        <v>0</v>
      </c>
      <c r="BA93" s="166">
        <v>0</v>
      </c>
      <c r="BB93" s="167">
        <v>0</v>
      </c>
      <c r="BC93" s="168">
        <v>0</v>
      </c>
      <c r="BD93" s="163">
        <v>0</v>
      </c>
      <c r="BE93" s="164">
        <v>0</v>
      </c>
      <c r="BF93" s="165">
        <v>0</v>
      </c>
      <c r="BG93" s="166">
        <v>0</v>
      </c>
      <c r="BH93" s="167">
        <v>0</v>
      </c>
      <c r="BI93" s="168">
        <v>0</v>
      </c>
      <c r="BJ93" s="163">
        <v>0</v>
      </c>
      <c r="BK93" s="164">
        <v>0</v>
      </c>
      <c r="BL93" s="165">
        <v>0</v>
      </c>
      <c r="BM93" s="166">
        <v>0</v>
      </c>
      <c r="BN93" s="167">
        <v>0</v>
      </c>
      <c r="BO93" s="168">
        <v>0</v>
      </c>
      <c r="BP93" s="163">
        <v>0</v>
      </c>
      <c r="BQ93" s="164">
        <v>0</v>
      </c>
      <c r="BR93" s="165">
        <v>0</v>
      </c>
      <c r="BS93" s="166">
        <v>0</v>
      </c>
      <c r="BT93" s="167">
        <v>0</v>
      </c>
      <c r="BU93" s="168">
        <v>0</v>
      </c>
      <c r="BV93" s="163">
        <v>0</v>
      </c>
      <c r="BW93" s="164">
        <v>0</v>
      </c>
      <c r="BX93" s="165">
        <v>0</v>
      </c>
      <c r="BY93" s="166">
        <v>0</v>
      </c>
      <c r="BZ93" s="167">
        <v>0</v>
      </c>
      <c r="CA93" s="168">
        <v>0</v>
      </c>
      <c r="CB93" s="163">
        <v>0</v>
      </c>
      <c r="CC93" s="164">
        <v>0</v>
      </c>
      <c r="CD93" s="165">
        <v>0</v>
      </c>
      <c r="CE93" s="166">
        <v>0</v>
      </c>
      <c r="CF93" s="167">
        <v>0</v>
      </c>
      <c r="CG93" s="168">
        <v>0</v>
      </c>
      <c r="CH93" s="163">
        <v>0</v>
      </c>
      <c r="CI93" s="164">
        <v>0</v>
      </c>
      <c r="CJ93" s="165">
        <v>0</v>
      </c>
      <c r="CK93" s="166">
        <v>0</v>
      </c>
      <c r="CL93" s="167">
        <v>0</v>
      </c>
      <c r="CM93" s="168">
        <v>0</v>
      </c>
      <c r="CN93" s="163">
        <v>0</v>
      </c>
      <c r="CO93" s="164">
        <v>0</v>
      </c>
      <c r="CP93" s="165">
        <v>0</v>
      </c>
      <c r="CQ93" s="166">
        <v>0</v>
      </c>
      <c r="CR93" s="167">
        <v>0</v>
      </c>
      <c r="CS93" s="168">
        <v>0</v>
      </c>
      <c r="CT93" s="163">
        <v>0</v>
      </c>
      <c r="CU93" s="164">
        <v>0</v>
      </c>
      <c r="CV93" s="165">
        <v>0</v>
      </c>
      <c r="CW93" s="166">
        <v>0</v>
      </c>
      <c r="CX93" s="167">
        <v>0</v>
      </c>
      <c r="CY93" s="168">
        <v>0</v>
      </c>
      <c r="CZ93" s="163">
        <v>0</v>
      </c>
      <c r="DA93" s="164">
        <v>0</v>
      </c>
      <c r="DB93" s="165">
        <v>0</v>
      </c>
      <c r="DC93" s="174"/>
      <c r="DD93" s="174"/>
      <c r="DE93" s="170"/>
      <c r="DF93" s="171"/>
      <c r="DG93" s="278"/>
      <c r="DH93" s="170"/>
    </row>
    <row r="94" spans="1:112" ht="24.75" customHeight="1">
      <c r="A94" s="200">
        <f>'Danh muc'!A94</f>
        <v>0</v>
      </c>
      <c r="B94" s="201">
        <f>'Danh muc'!B94</f>
        <v>0</v>
      </c>
      <c r="C94" s="208">
        <f>'Danh muc'!C94</f>
        <v>0</v>
      </c>
      <c r="D94" s="201">
        <f>'Danh muc'!E94</f>
        <v>0</v>
      </c>
      <c r="E94" s="202">
        <f t="shared" si="14"/>
        <v>0</v>
      </c>
      <c r="F94" s="202">
        <f t="shared" si="15"/>
        <v>0</v>
      </c>
      <c r="G94" s="202">
        <f t="shared" si="16"/>
        <v>0</v>
      </c>
      <c r="H94" s="203">
        <f t="shared" si="11"/>
        <v>0</v>
      </c>
      <c r="I94" s="204">
        <f t="shared" si="12"/>
        <v>0</v>
      </c>
      <c r="J94" s="203">
        <f t="shared" si="13"/>
        <v>0</v>
      </c>
      <c r="K94" s="205">
        <f t="shared" si="17"/>
        <v>0</v>
      </c>
      <c r="L94" s="206">
        <f t="shared" si="18"/>
        <v>0</v>
      </c>
      <c r="M94" s="207">
        <f t="shared" si="19"/>
        <v>0</v>
      </c>
      <c r="N94" s="163">
        <v>0</v>
      </c>
      <c r="O94" s="164">
        <v>0</v>
      </c>
      <c r="P94" s="165">
        <v>0</v>
      </c>
      <c r="Q94" s="166">
        <v>0</v>
      </c>
      <c r="R94" s="167">
        <v>0</v>
      </c>
      <c r="S94" s="168">
        <v>0</v>
      </c>
      <c r="T94" s="163">
        <v>0</v>
      </c>
      <c r="U94" s="164">
        <v>0</v>
      </c>
      <c r="V94" s="165">
        <v>0</v>
      </c>
      <c r="W94" s="166">
        <v>0</v>
      </c>
      <c r="X94" s="167">
        <v>0</v>
      </c>
      <c r="Y94" s="168">
        <v>0</v>
      </c>
      <c r="Z94" s="163">
        <v>0</v>
      </c>
      <c r="AA94" s="164">
        <v>0</v>
      </c>
      <c r="AB94" s="165">
        <v>0</v>
      </c>
      <c r="AC94" s="166">
        <v>0</v>
      </c>
      <c r="AD94" s="167">
        <v>0</v>
      </c>
      <c r="AE94" s="168">
        <v>0</v>
      </c>
      <c r="AF94" s="163">
        <v>0</v>
      </c>
      <c r="AG94" s="164">
        <v>0</v>
      </c>
      <c r="AH94" s="165">
        <v>0</v>
      </c>
      <c r="AI94" s="166">
        <v>0</v>
      </c>
      <c r="AJ94" s="167">
        <v>0</v>
      </c>
      <c r="AK94" s="168">
        <v>0</v>
      </c>
      <c r="AL94" s="163">
        <v>0</v>
      </c>
      <c r="AM94" s="164">
        <v>0</v>
      </c>
      <c r="AN94" s="165">
        <v>0</v>
      </c>
      <c r="AO94" s="166">
        <v>0</v>
      </c>
      <c r="AP94" s="167">
        <v>0</v>
      </c>
      <c r="AQ94" s="168">
        <v>0</v>
      </c>
      <c r="AR94" s="163">
        <v>0</v>
      </c>
      <c r="AS94" s="164">
        <v>0</v>
      </c>
      <c r="AT94" s="165">
        <v>0</v>
      </c>
      <c r="AU94" s="166">
        <v>0</v>
      </c>
      <c r="AV94" s="167">
        <v>0</v>
      </c>
      <c r="AW94" s="168">
        <v>0</v>
      </c>
      <c r="AX94" s="163">
        <v>0</v>
      </c>
      <c r="AY94" s="164">
        <v>0</v>
      </c>
      <c r="AZ94" s="165">
        <v>0</v>
      </c>
      <c r="BA94" s="166">
        <v>0</v>
      </c>
      <c r="BB94" s="167">
        <v>0</v>
      </c>
      <c r="BC94" s="168">
        <v>0</v>
      </c>
      <c r="BD94" s="163">
        <v>0</v>
      </c>
      <c r="BE94" s="164">
        <v>0</v>
      </c>
      <c r="BF94" s="165">
        <v>0</v>
      </c>
      <c r="BG94" s="166">
        <v>0</v>
      </c>
      <c r="BH94" s="167">
        <v>0</v>
      </c>
      <c r="BI94" s="168">
        <v>0</v>
      </c>
      <c r="BJ94" s="163">
        <v>0</v>
      </c>
      <c r="BK94" s="164">
        <v>0</v>
      </c>
      <c r="BL94" s="165">
        <v>0</v>
      </c>
      <c r="BM94" s="166">
        <v>0</v>
      </c>
      <c r="BN94" s="167">
        <v>0</v>
      </c>
      <c r="BO94" s="168">
        <v>0</v>
      </c>
      <c r="BP94" s="163">
        <v>0</v>
      </c>
      <c r="BQ94" s="164">
        <v>0</v>
      </c>
      <c r="BR94" s="165">
        <v>0</v>
      </c>
      <c r="BS94" s="166">
        <v>0</v>
      </c>
      <c r="BT94" s="167">
        <v>0</v>
      </c>
      <c r="BU94" s="168">
        <v>0</v>
      </c>
      <c r="BV94" s="163">
        <v>0</v>
      </c>
      <c r="BW94" s="164">
        <v>0</v>
      </c>
      <c r="BX94" s="165">
        <v>0</v>
      </c>
      <c r="BY94" s="166">
        <v>0</v>
      </c>
      <c r="BZ94" s="167">
        <v>0</v>
      </c>
      <c r="CA94" s="168">
        <v>0</v>
      </c>
      <c r="CB94" s="163">
        <v>0</v>
      </c>
      <c r="CC94" s="164">
        <v>0</v>
      </c>
      <c r="CD94" s="165">
        <v>0</v>
      </c>
      <c r="CE94" s="166">
        <v>0</v>
      </c>
      <c r="CF94" s="167">
        <v>0</v>
      </c>
      <c r="CG94" s="168">
        <v>0</v>
      </c>
      <c r="CH94" s="163">
        <v>0</v>
      </c>
      <c r="CI94" s="164">
        <v>0</v>
      </c>
      <c r="CJ94" s="165">
        <v>0</v>
      </c>
      <c r="CK94" s="166">
        <v>0</v>
      </c>
      <c r="CL94" s="167">
        <v>0</v>
      </c>
      <c r="CM94" s="168">
        <v>0</v>
      </c>
      <c r="CN94" s="163">
        <v>0</v>
      </c>
      <c r="CO94" s="164">
        <v>0</v>
      </c>
      <c r="CP94" s="165">
        <v>0</v>
      </c>
      <c r="CQ94" s="166">
        <v>0</v>
      </c>
      <c r="CR94" s="167">
        <v>0</v>
      </c>
      <c r="CS94" s="168">
        <v>0</v>
      </c>
      <c r="CT94" s="163">
        <v>0</v>
      </c>
      <c r="CU94" s="164">
        <v>0</v>
      </c>
      <c r="CV94" s="165">
        <v>0</v>
      </c>
      <c r="CW94" s="166">
        <v>0</v>
      </c>
      <c r="CX94" s="167">
        <v>0</v>
      </c>
      <c r="CY94" s="168">
        <v>0</v>
      </c>
      <c r="CZ94" s="163">
        <v>0</v>
      </c>
      <c r="DA94" s="164">
        <v>0</v>
      </c>
      <c r="DB94" s="165">
        <v>0</v>
      </c>
      <c r="DC94" s="174"/>
      <c r="DD94" s="174"/>
      <c r="DE94" s="170"/>
      <c r="DF94" s="171"/>
      <c r="DG94" s="278"/>
      <c r="DH94" s="170"/>
    </row>
    <row r="95" spans="1:112" ht="24.75" customHeight="1">
      <c r="A95" s="200">
        <f>'Danh muc'!A95</f>
        <v>0</v>
      </c>
      <c r="B95" s="201">
        <f>'Danh muc'!B95</f>
        <v>0</v>
      </c>
      <c r="C95" s="208">
        <f>'Danh muc'!C95</f>
        <v>0</v>
      </c>
      <c r="D95" s="201">
        <f>'Danh muc'!E95</f>
        <v>0</v>
      </c>
      <c r="E95" s="202">
        <f t="shared" si="14"/>
        <v>0</v>
      </c>
      <c r="F95" s="202">
        <f t="shared" si="15"/>
        <v>0</v>
      </c>
      <c r="G95" s="202">
        <f t="shared" si="16"/>
        <v>0</v>
      </c>
      <c r="H95" s="203">
        <f t="shared" si="11"/>
        <v>0</v>
      </c>
      <c r="I95" s="204">
        <f t="shared" si="12"/>
        <v>0</v>
      </c>
      <c r="J95" s="203">
        <f t="shared" si="13"/>
        <v>0</v>
      </c>
      <c r="K95" s="205">
        <f t="shared" si="17"/>
        <v>0</v>
      </c>
      <c r="L95" s="206">
        <f t="shared" si="18"/>
        <v>0</v>
      </c>
      <c r="M95" s="207">
        <f t="shared" si="19"/>
        <v>0</v>
      </c>
      <c r="N95" s="163">
        <v>0</v>
      </c>
      <c r="O95" s="164">
        <v>0</v>
      </c>
      <c r="P95" s="165">
        <v>0</v>
      </c>
      <c r="Q95" s="166">
        <v>0</v>
      </c>
      <c r="R95" s="167">
        <v>0</v>
      </c>
      <c r="S95" s="168">
        <v>0</v>
      </c>
      <c r="T95" s="163">
        <v>0</v>
      </c>
      <c r="U95" s="164">
        <v>0</v>
      </c>
      <c r="V95" s="165">
        <v>0</v>
      </c>
      <c r="W95" s="166">
        <v>0</v>
      </c>
      <c r="X95" s="167">
        <v>0</v>
      </c>
      <c r="Y95" s="168">
        <v>0</v>
      </c>
      <c r="Z95" s="163">
        <v>0</v>
      </c>
      <c r="AA95" s="164">
        <v>0</v>
      </c>
      <c r="AB95" s="165">
        <v>0</v>
      </c>
      <c r="AC95" s="166">
        <v>0</v>
      </c>
      <c r="AD95" s="167">
        <v>0</v>
      </c>
      <c r="AE95" s="168">
        <v>0</v>
      </c>
      <c r="AF95" s="163">
        <v>0</v>
      </c>
      <c r="AG95" s="164">
        <v>0</v>
      </c>
      <c r="AH95" s="165">
        <v>0</v>
      </c>
      <c r="AI95" s="166">
        <v>0</v>
      </c>
      <c r="AJ95" s="167">
        <v>0</v>
      </c>
      <c r="AK95" s="168">
        <v>0</v>
      </c>
      <c r="AL95" s="163">
        <v>0</v>
      </c>
      <c r="AM95" s="164">
        <v>0</v>
      </c>
      <c r="AN95" s="165">
        <v>0</v>
      </c>
      <c r="AO95" s="166">
        <v>0</v>
      </c>
      <c r="AP95" s="167">
        <v>0</v>
      </c>
      <c r="AQ95" s="168">
        <v>0</v>
      </c>
      <c r="AR95" s="163">
        <v>0</v>
      </c>
      <c r="AS95" s="164">
        <v>0</v>
      </c>
      <c r="AT95" s="165">
        <v>0</v>
      </c>
      <c r="AU95" s="166">
        <v>0</v>
      </c>
      <c r="AV95" s="167">
        <v>0</v>
      </c>
      <c r="AW95" s="168">
        <v>0</v>
      </c>
      <c r="AX95" s="163">
        <v>0</v>
      </c>
      <c r="AY95" s="164">
        <v>0</v>
      </c>
      <c r="AZ95" s="165">
        <v>0</v>
      </c>
      <c r="BA95" s="166">
        <v>0</v>
      </c>
      <c r="BB95" s="167">
        <v>0</v>
      </c>
      <c r="BC95" s="168">
        <v>0</v>
      </c>
      <c r="BD95" s="163">
        <v>0</v>
      </c>
      <c r="BE95" s="164">
        <v>0</v>
      </c>
      <c r="BF95" s="165">
        <v>0</v>
      </c>
      <c r="BG95" s="166">
        <v>0</v>
      </c>
      <c r="BH95" s="167">
        <v>0</v>
      </c>
      <c r="BI95" s="168">
        <v>0</v>
      </c>
      <c r="BJ95" s="163">
        <v>0</v>
      </c>
      <c r="BK95" s="164">
        <v>0</v>
      </c>
      <c r="BL95" s="165">
        <v>0</v>
      </c>
      <c r="BM95" s="166">
        <v>0</v>
      </c>
      <c r="BN95" s="167">
        <v>0</v>
      </c>
      <c r="BO95" s="168">
        <v>0</v>
      </c>
      <c r="BP95" s="163">
        <v>0</v>
      </c>
      <c r="BQ95" s="164">
        <v>0</v>
      </c>
      <c r="BR95" s="165">
        <v>0</v>
      </c>
      <c r="BS95" s="166">
        <v>0</v>
      </c>
      <c r="BT95" s="167">
        <v>0</v>
      </c>
      <c r="BU95" s="168">
        <v>0</v>
      </c>
      <c r="BV95" s="163">
        <v>0</v>
      </c>
      <c r="BW95" s="164">
        <v>0</v>
      </c>
      <c r="BX95" s="165">
        <v>0</v>
      </c>
      <c r="BY95" s="166">
        <v>0</v>
      </c>
      <c r="BZ95" s="167">
        <v>0</v>
      </c>
      <c r="CA95" s="168">
        <v>0</v>
      </c>
      <c r="CB95" s="163">
        <v>0</v>
      </c>
      <c r="CC95" s="164">
        <v>0</v>
      </c>
      <c r="CD95" s="165">
        <v>0</v>
      </c>
      <c r="CE95" s="166">
        <v>0</v>
      </c>
      <c r="CF95" s="167">
        <v>0</v>
      </c>
      <c r="CG95" s="168">
        <v>0</v>
      </c>
      <c r="CH95" s="163">
        <v>0</v>
      </c>
      <c r="CI95" s="164">
        <v>0</v>
      </c>
      <c r="CJ95" s="165">
        <v>0</v>
      </c>
      <c r="CK95" s="166">
        <v>0</v>
      </c>
      <c r="CL95" s="167">
        <v>0</v>
      </c>
      <c r="CM95" s="168">
        <v>0</v>
      </c>
      <c r="CN95" s="163">
        <v>0</v>
      </c>
      <c r="CO95" s="164">
        <v>0</v>
      </c>
      <c r="CP95" s="165">
        <v>0</v>
      </c>
      <c r="CQ95" s="166">
        <v>0</v>
      </c>
      <c r="CR95" s="167">
        <v>0</v>
      </c>
      <c r="CS95" s="168">
        <v>0</v>
      </c>
      <c r="CT95" s="163">
        <v>0</v>
      </c>
      <c r="CU95" s="164">
        <v>0</v>
      </c>
      <c r="CV95" s="165">
        <v>0</v>
      </c>
      <c r="CW95" s="166">
        <v>0</v>
      </c>
      <c r="CX95" s="167">
        <v>0</v>
      </c>
      <c r="CY95" s="168">
        <v>0</v>
      </c>
      <c r="CZ95" s="163">
        <v>0</v>
      </c>
      <c r="DA95" s="164">
        <v>0</v>
      </c>
      <c r="DB95" s="165">
        <v>0</v>
      </c>
      <c r="DC95" s="174"/>
      <c r="DD95" s="174"/>
      <c r="DE95" s="170"/>
      <c r="DF95" s="171"/>
      <c r="DG95" s="278"/>
      <c r="DH95" s="170"/>
    </row>
    <row r="96" spans="1:112" ht="24.75" customHeight="1">
      <c r="A96" s="200">
        <f>'Danh muc'!A96</f>
        <v>0</v>
      </c>
      <c r="B96" s="201">
        <f>'Danh muc'!B96</f>
        <v>0</v>
      </c>
      <c r="C96" s="208">
        <f>'Danh muc'!C96</f>
        <v>0</v>
      </c>
      <c r="D96" s="201">
        <f>'Danh muc'!E96</f>
        <v>0</v>
      </c>
      <c r="E96" s="202">
        <f t="shared" si="14"/>
        <v>0</v>
      </c>
      <c r="F96" s="202">
        <f t="shared" si="15"/>
        <v>0</v>
      </c>
      <c r="G96" s="202">
        <f t="shared" si="16"/>
        <v>0</v>
      </c>
      <c r="H96" s="203">
        <f t="shared" si="11"/>
        <v>0</v>
      </c>
      <c r="I96" s="204">
        <f t="shared" si="12"/>
        <v>0</v>
      </c>
      <c r="J96" s="203">
        <f t="shared" si="13"/>
        <v>0</v>
      </c>
      <c r="K96" s="205">
        <f t="shared" si="17"/>
        <v>0</v>
      </c>
      <c r="L96" s="206">
        <f t="shared" si="18"/>
        <v>0</v>
      </c>
      <c r="M96" s="207">
        <f t="shared" si="19"/>
        <v>0</v>
      </c>
      <c r="N96" s="163">
        <v>0</v>
      </c>
      <c r="O96" s="164">
        <v>0</v>
      </c>
      <c r="P96" s="165">
        <v>0</v>
      </c>
      <c r="Q96" s="166">
        <v>0</v>
      </c>
      <c r="R96" s="167">
        <v>0</v>
      </c>
      <c r="S96" s="168">
        <v>0</v>
      </c>
      <c r="T96" s="163">
        <v>0</v>
      </c>
      <c r="U96" s="164">
        <v>0</v>
      </c>
      <c r="V96" s="165">
        <v>0</v>
      </c>
      <c r="W96" s="166">
        <v>0</v>
      </c>
      <c r="X96" s="167">
        <v>0</v>
      </c>
      <c r="Y96" s="168">
        <v>0</v>
      </c>
      <c r="Z96" s="163">
        <v>0</v>
      </c>
      <c r="AA96" s="164">
        <v>0</v>
      </c>
      <c r="AB96" s="165">
        <v>0</v>
      </c>
      <c r="AC96" s="166">
        <v>0</v>
      </c>
      <c r="AD96" s="167">
        <v>0</v>
      </c>
      <c r="AE96" s="168">
        <v>0</v>
      </c>
      <c r="AF96" s="163">
        <v>0</v>
      </c>
      <c r="AG96" s="164">
        <v>0</v>
      </c>
      <c r="AH96" s="165">
        <v>0</v>
      </c>
      <c r="AI96" s="166">
        <v>0</v>
      </c>
      <c r="AJ96" s="167">
        <v>0</v>
      </c>
      <c r="AK96" s="168">
        <v>0</v>
      </c>
      <c r="AL96" s="163">
        <v>0</v>
      </c>
      <c r="AM96" s="164">
        <v>0</v>
      </c>
      <c r="AN96" s="165">
        <v>0</v>
      </c>
      <c r="AO96" s="166">
        <v>0</v>
      </c>
      <c r="AP96" s="167">
        <v>0</v>
      </c>
      <c r="AQ96" s="168">
        <v>0</v>
      </c>
      <c r="AR96" s="163">
        <v>0</v>
      </c>
      <c r="AS96" s="164">
        <v>0</v>
      </c>
      <c r="AT96" s="165">
        <v>0</v>
      </c>
      <c r="AU96" s="166">
        <v>0</v>
      </c>
      <c r="AV96" s="167">
        <v>0</v>
      </c>
      <c r="AW96" s="168">
        <v>0</v>
      </c>
      <c r="AX96" s="163">
        <v>0</v>
      </c>
      <c r="AY96" s="164">
        <v>0</v>
      </c>
      <c r="AZ96" s="165">
        <v>0</v>
      </c>
      <c r="BA96" s="166">
        <v>0</v>
      </c>
      <c r="BB96" s="167">
        <v>0</v>
      </c>
      <c r="BC96" s="168">
        <v>0</v>
      </c>
      <c r="BD96" s="163">
        <v>0</v>
      </c>
      <c r="BE96" s="164">
        <v>0</v>
      </c>
      <c r="BF96" s="165">
        <v>0</v>
      </c>
      <c r="BG96" s="166">
        <v>0</v>
      </c>
      <c r="BH96" s="167">
        <v>0</v>
      </c>
      <c r="BI96" s="168">
        <v>0</v>
      </c>
      <c r="BJ96" s="163">
        <v>0</v>
      </c>
      <c r="BK96" s="164">
        <v>0</v>
      </c>
      <c r="BL96" s="165">
        <v>0</v>
      </c>
      <c r="BM96" s="166">
        <v>0</v>
      </c>
      <c r="BN96" s="167">
        <v>0</v>
      </c>
      <c r="BO96" s="168">
        <v>0</v>
      </c>
      <c r="BP96" s="163">
        <v>0</v>
      </c>
      <c r="BQ96" s="164">
        <v>0</v>
      </c>
      <c r="BR96" s="165">
        <v>0</v>
      </c>
      <c r="BS96" s="166">
        <v>0</v>
      </c>
      <c r="BT96" s="167">
        <v>0</v>
      </c>
      <c r="BU96" s="168">
        <v>0</v>
      </c>
      <c r="BV96" s="163">
        <v>0</v>
      </c>
      <c r="BW96" s="164">
        <v>0</v>
      </c>
      <c r="BX96" s="165">
        <v>0</v>
      </c>
      <c r="BY96" s="166">
        <v>0</v>
      </c>
      <c r="BZ96" s="167">
        <v>0</v>
      </c>
      <c r="CA96" s="168">
        <v>0</v>
      </c>
      <c r="CB96" s="163">
        <v>0</v>
      </c>
      <c r="CC96" s="164">
        <v>0</v>
      </c>
      <c r="CD96" s="165">
        <v>0</v>
      </c>
      <c r="CE96" s="166">
        <v>0</v>
      </c>
      <c r="CF96" s="167">
        <v>0</v>
      </c>
      <c r="CG96" s="168">
        <v>0</v>
      </c>
      <c r="CH96" s="163">
        <v>0</v>
      </c>
      <c r="CI96" s="164">
        <v>0</v>
      </c>
      <c r="CJ96" s="165">
        <v>0</v>
      </c>
      <c r="CK96" s="166">
        <v>0</v>
      </c>
      <c r="CL96" s="167">
        <v>0</v>
      </c>
      <c r="CM96" s="168">
        <v>0</v>
      </c>
      <c r="CN96" s="163">
        <v>0</v>
      </c>
      <c r="CO96" s="164">
        <v>0</v>
      </c>
      <c r="CP96" s="165">
        <v>0</v>
      </c>
      <c r="CQ96" s="166">
        <v>0</v>
      </c>
      <c r="CR96" s="167">
        <v>0</v>
      </c>
      <c r="CS96" s="168">
        <v>0</v>
      </c>
      <c r="CT96" s="163">
        <v>0</v>
      </c>
      <c r="CU96" s="164">
        <v>0</v>
      </c>
      <c r="CV96" s="165">
        <v>0</v>
      </c>
      <c r="CW96" s="166">
        <v>0</v>
      </c>
      <c r="CX96" s="167">
        <v>0</v>
      </c>
      <c r="CY96" s="168">
        <v>0</v>
      </c>
      <c r="CZ96" s="163">
        <v>0</v>
      </c>
      <c r="DA96" s="164">
        <v>0</v>
      </c>
      <c r="DB96" s="165">
        <v>0</v>
      </c>
      <c r="DC96" s="174"/>
      <c r="DD96" s="174"/>
      <c r="DE96" s="170"/>
      <c r="DF96" s="171"/>
      <c r="DG96" s="278"/>
      <c r="DH96" s="170"/>
    </row>
    <row r="97" spans="1:112" ht="24.75" customHeight="1">
      <c r="A97" s="200">
        <f>'Danh muc'!A97</f>
        <v>0</v>
      </c>
      <c r="B97" s="201">
        <f>'Danh muc'!B97</f>
        <v>0</v>
      </c>
      <c r="C97" s="208">
        <f>'Danh muc'!C97</f>
        <v>0</v>
      </c>
      <c r="D97" s="201">
        <f>'Danh muc'!E97</f>
        <v>0</v>
      </c>
      <c r="E97" s="202">
        <f t="shared" si="14"/>
        <v>0</v>
      </c>
      <c r="F97" s="202">
        <f t="shared" si="15"/>
        <v>0</v>
      </c>
      <c r="G97" s="202">
        <f t="shared" si="16"/>
        <v>0</v>
      </c>
      <c r="H97" s="203">
        <f t="shared" si="11"/>
        <v>0</v>
      </c>
      <c r="I97" s="204">
        <f t="shared" si="12"/>
        <v>0</v>
      </c>
      <c r="J97" s="203">
        <f t="shared" si="13"/>
        <v>0</v>
      </c>
      <c r="K97" s="205">
        <f t="shared" si="17"/>
        <v>0</v>
      </c>
      <c r="L97" s="206">
        <f t="shared" si="18"/>
        <v>0</v>
      </c>
      <c r="M97" s="207">
        <f t="shared" si="19"/>
        <v>0</v>
      </c>
      <c r="N97" s="163">
        <v>0</v>
      </c>
      <c r="O97" s="164">
        <v>0</v>
      </c>
      <c r="P97" s="165">
        <v>0</v>
      </c>
      <c r="Q97" s="166">
        <v>0</v>
      </c>
      <c r="R97" s="167">
        <v>0</v>
      </c>
      <c r="S97" s="168">
        <v>0</v>
      </c>
      <c r="T97" s="163">
        <v>0</v>
      </c>
      <c r="U97" s="164">
        <v>0</v>
      </c>
      <c r="V97" s="165">
        <v>0</v>
      </c>
      <c r="W97" s="166">
        <v>0</v>
      </c>
      <c r="X97" s="167">
        <v>0</v>
      </c>
      <c r="Y97" s="168">
        <v>0</v>
      </c>
      <c r="Z97" s="163">
        <v>0</v>
      </c>
      <c r="AA97" s="164">
        <v>0</v>
      </c>
      <c r="AB97" s="165">
        <v>0</v>
      </c>
      <c r="AC97" s="166">
        <v>0</v>
      </c>
      <c r="AD97" s="167">
        <v>0</v>
      </c>
      <c r="AE97" s="168">
        <v>0</v>
      </c>
      <c r="AF97" s="163">
        <v>0</v>
      </c>
      <c r="AG97" s="164">
        <v>0</v>
      </c>
      <c r="AH97" s="165">
        <v>0</v>
      </c>
      <c r="AI97" s="166">
        <v>0</v>
      </c>
      <c r="AJ97" s="167">
        <v>0</v>
      </c>
      <c r="AK97" s="168">
        <v>0</v>
      </c>
      <c r="AL97" s="163">
        <v>0</v>
      </c>
      <c r="AM97" s="164">
        <v>0</v>
      </c>
      <c r="AN97" s="165">
        <v>0</v>
      </c>
      <c r="AO97" s="166">
        <v>0</v>
      </c>
      <c r="AP97" s="167">
        <v>0</v>
      </c>
      <c r="AQ97" s="168">
        <v>0</v>
      </c>
      <c r="AR97" s="163">
        <v>0</v>
      </c>
      <c r="AS97" s="164">
        <v>0</v>
      </c>
      <c r="AT97" s="165">
        <v>0</v>
      </c>
      <c r="AU97" s="166">
        <v>0</v>
      </c>
      <c r="AV97" s="167">
        <v>0</v>
      </c>
      <c r="AW97" s="168">
        <v>0</v>
      </c>
      <c r="AX97" s="163">
        <v>0</v>
      </c>
      <c r="AY97" s="164">
        <v>0</v>
      </c>
      <c r="AZ97" s="165">
        <v>0</v>
      </c>
      <c r="BA97" s="166">
        <v>0</v>
      </c>
      <c r="BB97" s="167">
        <v>0</v>
      </c>
      <c r="BC97" s="168">
        <v>0</v>
      </c>
      <c r="BD97" s="163">
        <v>0</v>
      </c>
      <c r="BE97" s="164">
        <v>0</v>
      </c>
      <c r="BF97" s="165">
        <v>0</v>
      </c>
      <c r="BG97" s="166">
        <v>0</v>
      </c>
      <c r="BH97" s="167">
        <v>0</v>
      </c>
      <c r="BI97" s="168">
        <v>0</v>
      </c>
      <c r="BJ97" s="163">
        <v>0</v>
      </c>
      <c r="BK97" s="164">
        <v>0</v>
      </c>
      <c r="BL97" s="165">
        <v>0</v>
      </c>
      <c r="BM97" s="166">
        <v>0</v>
      </c>
      <c r="BN97" s="167">
        <v>0</v>
      </c>
      <c r="BO97" s="168">
        <v>0</v>
      </c>
      <c r="BP97" s="163">
        <v>0</v>
      </c>
      <c r="BQ97" s="164">
        <v>0</v>
      </c>
      <c r="BR97" s="165">
        <v>0</v>
      </c>
      <c r="BS97" s="166">
        <v>0</v>
      </c>
      <c r="BT97" s="167">
        <v>0</v>
      </c>
      <c r="BU97" s="168">
        <v>0</v>
      </c>
      <c r="BV97" s="163">
        <v>0</v>
      </c>
      <c r="BW97" s="164">
        <v>0</v>
      </c>
      <c r="BX97" s="165">
        <v>0</v>
      </c>
      <c r="BY97" s="166">
        <v>0</v>
      </c>
      <c r="BZ97" s="167">
        <v>0</v>
      </c>
      <c r="CA97" s="168">
        <v>0</v>
      </c>
      <c r="CB97" s="163">
        <v>0</v>
      </c>
      <c r="CC97" s="164">
        <v>0</v>
      </c>
      <c r="CD97" s="165">
        <v>0</v>
      </c>
      <c r="CE97" s="166">
        <v>0</v>
      </c>
      <c r="CF97" s="167">
        <v>0</v>
      </c>
      <c r="CG97" s="168">
        <v>0</v>
      </c>
      <c r="CH97" s="163">
        <v>0</v>
      </c>
      <c r="CI97" s="164">
        <v>0</v>
      </c>
      <c r="CJ97" s="165">
        <v>0</v>
      </c>
      <c r="CK97" s="166">
        <v>0</v>
      </c>
      <c r="CL97" s="167">
        <v>0</v>
      </c>
      <c r="CM97" s="168">
        <v>0</v>
      </c>
      <c r="CN97" s="163">
        <v>0</v>
      </c>
      <c r="CO97" s="164">
        <v>0</v>
      </c>
      <c r="CP97" s="165">
        <v>0</v>
      </c>
      <c r="CQ97" s="166">
        <v>0</v>
      </c>
      <c r="CR97" s="167">
        <v>0</v>
      </c>
      <c r="CS97" s="168">
        <v>0</v>
      </c>
      <c r="CT97" s="163">
        <v>0</v>
      </c>
      <c r="CU97" s="164">
        <v>0</v>
      </c>
      <c r="CV97" s="165">
        <v>0</v>
      </c>
      <c r="CW97" s="166">
        <v>0</v>
      </c>
      <c r="CX97" s="167">
        <v>0</v>
      </c>
      <c r="CY97" s="168">
        <v>0</v>
      </c>
      <c r="CZ97" s="163">
        <v>0</v>
      </c>
      <c r="DA97" s="164">
        <v>0</v>
      </c>
      <c r="DB97" s="165">
        <v>0</v>
      </c>
      <c r="DC97" s="174"/>
      <c r="DD97" s="174"/>
      <c r="DE97" s="170"/>
      <c r="DF97" s="171"/>
      <c r="DG97" s="278"/>
      <c r="DH97" s="170"/>
    </row>
    <row r="98" spans="1:112" ht="24.75" customHeight="1">
      <c r="A98" s="200">
        <f>'Danh muc'!A98</f>
        <v>0</v>
      </c>
      <c r="B98" s="201">
        <f>'Danh muc'!B98</f>
        <v>0</v>
      </c>
      <c r="C98" s="208">
        <f>'Danh muc'!C98</f>
        <v>0</v>
      </c>
      <c r="D98" s="201">
        <f>'Danh muc'!E98</f>
        <v>0</v>
      </c>
      <c r="E98" s="202">
        <f t="shared" si="14"/>
        <v>0</v>
      </c>
      <c r="F98" s="202">
        <f t="shared" si="15"/>
        <v>0</v>
      </c>
      <c r="G98" s="202">
        <f t="shared" si="16"/>
        <v>0</v>
      </c>
      <c r="H98" s="203">
        <f t="shared" si="11"/>
        <v>0</v>
      </c>
      <c r="I98" s="204">
        <f t="shared" si="12"/>
        <v>0</v>
      </c>
      <c r="J98" s="203">
        <f t="shared" si="13"/>
        <v>0</v>
      </c>
      <c r="K98" s="205">
        <f t="shared" si="17"/>
        <v>0</v>
      </c>
      <c r="L98" s="206">
        <f t="shared" si="18"/>
        <v>0</v>
      </c>
      <c r="M98" s="207">
        <f t="shared" si="19"/>
        <v>0</v>
      </c>
      <c r="N98" s="163">
        <v>0</v>
      </c>
      <c r="O98" s="164">
        <v>0</v>
      </c>
      <c r="P98" s="165">
        <v>0</v>
      </c>
      <c r="Q98" s="166">
        <v>0</v>
      </c>
      <c r="R98" s="167">
        <v>0</v>
      </c>
      <c r="S98" s="168">
        <v>0</v>
      </c>
      <c r="T98" s="163">
        <v>0</v>
      </c>
      <c r="U98" s="164">
        <v>0</v>
      </c>
      <c r="V98" s="165">
        <v>0</v>
      </c>
      <c r="W98" s="166">
        <v>0</v>
      </c>
      <c r="X98" s="167">
        <v>0</v>
      </c>
      <c r="Y98" s="168">
        <v>0</v>
      </c>
      <c r="Z98" s="163">
        <v>0</v>
      </c>
      <c r="AA98" s="164">
        <v>0</v>
      </c>
      <c r="AB98" s="165">
        <v>0</v>
      </c>
      <c r="AC98" s="166">
        <v>0</v>
      </c>
      <c r="AD98" s="167">
        <v>0</v>
      </c>
      <c r="AE98" s="168">
        <v>0</v>
      </c>
      <c r="AF98" s="163">
        <v>0</v>
      </c>
      <c r="AG98" s="164">
        <v>0</v>
      </c>
      <c r="AH98" s="165">
        <v>0</v>
      </c>
      <c r="AI98" s="166">
        <v>0</v>
      </c>
      <c r="AJ98" s="167">
        <v>0</v>
      </c>
      <c r="AK98" s="168">
        <v>0</v>
      </c>
      <c r="AL98" s="163">
        <v>0</v>
      </c>
      <c r="AM98" s="164">
        <v>0</v>
      </c>
      <c r="AN98" s="165">
        <v>0</v>
      </c>
      <c r="AO98" s="166">
        <v>0</v>
      </c>
      <c r="AP98" s="167">
        <v>0</v>
      </c>
      <c r="AQ98" s="168">
        <v>0</v>
      </c>
      <c r="AR98" s="163">
        <v>0</v>
      </c>
      <c r="AS98" s="164">
        <v>0</v>
      </c>
      <c r="AT98" s="165">
        <v>0</v>
      </c>
      <c r="AU98" s="166">
        <v>0</v>
      </c>
      <c r="AV98" s="167">
        <v>0</v>
      </c>
      <c r="AW98" s="168">
        <v>0</v>
      </c>
      <c r="AX98" s="163">
        <v>0</v>
      </c>
      <c r="AY98" s="164">
        <v>0</v>
      </c>
      <c r="AZ98" s="165">
        <v>0</v>
      </c>
      <c r="BA98" s="166">
        <v>0</v>
      </c>
      <c r="BB98" s="167">
        <v>0</v>
      </c>
      <c r="BC98" s="168">
        <v>0</v>
      </c>
      <c r="BD98" s="163">
        <v>0</v>
      </c>
      <c r="BE98" s="164">
        <v>0</v>
      </c>
      <c r="BF98" s="165">
        <v>0</v>
      </c>
      <c r="BG98" s="166">
        <v>0</v>
      </c>
      <c r="BH98" s="167">
        <v>0</v>
      </c>
      <c r="BI98" s="168">
        <v>0</v>
      </c>
      <c r="BJ98" s="163">
        <v>0</v>
      </c>
      <c r="BK98" s="164">
        <v>0</v>
      </c>
      <c r="BL98" s="165">
        <v>0</v>
      </c>
      <c r="BM98" s="166">
        <v>0</v>
      </c>
      <c r="BN98" s="167">
        <v>0</v>
      </c>
      <c r="BO98" s="168">
        <v>0</v>
      </c>
      <c r="BP98" s="163">
        <v>0</v>
      </c>
      <c r="BQ98" s="164">
        <v>0</v>
      </c>
      <c r="BR98" s="165">
        <v>0</v>
      </c>
      <c r="BS98" s="166">
        <v>0</v>
      </c>
      <c r="BT98" s="167">
        <v>0</v>
      </c>
      <c r="BU98" s="168">
        <v>0</v>
      </c>
      <c r="BV98" s="163">
        <v>0</v>
      </c>
      <c r="BW98" s="164">
        <v>0</v>
      </c>
      <c r="BX98" s="165">
        <v>0</v>
      </c>
      <c r="BY98" s="166">
        <v>0</v>
      </c>
      <c r="BZ98" s="167">
        <v>0</v>
      </c>
      <c r="CA98" s="168">
        <v>0</v>
      </c>
      <c r="CB98" s="163">
        <v>0</v>
      </c>
      <c r="CC98" s="164">
        <v>0</v>
      </c>
      <c r="CD98" s="165">
        <v>0</v>
      </c>
      <c r="CE98" s="166">
        <v>0</v>
      </c>
      <c r="CF98" s="167">
        <v>0</v>
      </c>
      <c r="CG98" s="168">
        <v>0</v>
      </c>
      <c r="CH98" s="163">
        <v>0</v>
      </c>
      <c r="CI98" s="164">
        <v>0</v>
      </c>
      <c r="CJ98" s="165">
        <v>0</v>
      </c>
      <c r="CK98" s="166">
        <v>0</v>
      </c>
      <c r="CL98" s="167">
        <v>0</v>
      </c>
      <c r="CM98" s="168">
        <v>0</v>
      </c>
      <c r="CN98" s="163">
        <v>0</v>
      </c>
      <c r="CO98" s="164">
        <v>0</v>
      </c>
      <c r="CP98" s="165">
        <v>0</v>
      </c>
      <c r="CQ98" s="166">
        <v>0</v>
      </c>
      <c r="CR98" s="167">
        <v>0</v>
      </c>
      <c r="CS98" s="168">
        <v>0</v>
      </c>
      <c r="CT98" s="163">
        <v>0</v>
      </c>
      <c r="CU98" s="164">
        <v>0</v>
      </c>
      <c r="CV98" s="165">
        <v>0</v>
      </c>
      <c r="CW98" s="166">
        <v>0</v>
      </c>
      <c r="CX98" s="167">
        <v>0</v>
      </c>
      <c r="CY98" s="168">
        <v>0</v>
      </c>
      <c r="CZ98" s="163">
        <v>0</v>
      </c>
      <c r="DA98" s="164">
        <v>0</v>
      </c>
      <c r="DB98" s="165">
        <v>0</v>
      </c>
      <c r="DC98" s="174"/>
      <c r="DD98" s="174"/>
      <c r="DE98" s="170"/>
      <c r="DF98" s="171"/>
      <c r="DG98" s="278"/>
      <c r="DH98" s="170"/>
    </row>
    <row r="99" spans="1:112" ht="24.75" customHeight="1">
      <c r="A99" s="200">
        <f>'Danh muc'!A99</f>
        <v>0</v>
      </c>
      <c r="B99" s="201">
        <f>'Danh muc'!B99</f>
        <v>0</v>
      </c>
      <c r="C99" s="208">
        <f>'Danh muc'!C99</f>
        <v>0</v>
      </c>
      <c r="D99" s="201">
        <f>'Danh muc'!E99</f>
        <v>0</v>
      </c>
      <c r="E99" s="202">
        <f t="shared" si="14"/>
        <v>0</v>
      </c>
      <c r="F99" s="202">
        <f t="shared" si="15"/>
        <v>0</v>
      </c>
      <c r="G99" s="202">
        <f t="shared" si="16"/>
        <v>0</v>
      </c>
      <c r="H99" s="203">
        <f t="shared" si="11"/>
        <v>0</v>
      </c>
      <c r="I99" s="204">
        <f t="shared" si="12"/>
        <v>0</v>
      </c>
      <c r="J99" s="203">
        <f t="shared" si="13"/>
        <v>0</v>
      </c>
      <c r="K99" s="205">
        <f t="shared" si="17"/>
        <v>0</v>
      </c>
      <c r="L99" s="206">
        <f t="shared" si="18"/>
        <v>0</v>
      </c>
      <c r="M99" s="207">
        <f t="shared" si="19"/>
        <v>0</v>
      </c>
      <c r="N99" s="163">
        <v>0</v>
      </c>
      <c r="O99" s="164">
        <v>0</v>
      </c>
      <c r="P99" s="165">
        <v>0</v>
      </c>
      <c r="Q99" s="166">
        <v>0</v>
      </c>
      <c r="R99" s="167">
        <v>0</v>
      </c>
      <c r="S99" s="168">
        <v>0</v>
      </c>
      <c r="T99" s="163">
        <v>0</v>
      </c>
      <c r="U99" s="164">
        <v>0</v>
      </c>
      <c r="V99" s="165">
        <v>0</v>
      </c>
      <c r="W99" s="166">
        <v>0</v>
      </c>
      <c r="X99" s="167">
        <v>0</v>
      </c>
      <c r="Y99" s="168">
        <v>0</v>
      </c>
      <c r="Z99" s="163">
        <v>0</v>
      </c>
      <c r="AA99" s="164">
        <v>0</v>
      </c>
      <c r="AB99" s="165">
        <v>0</v>
      </c>
      <c r="AC99" s="166">
        <v>0</v>
      </c>
      <c r="AD99" s="167">
        <v>0</v>
      </c>
      <c r="AE99" s="168">
        <v>0</v>
      </c>
      <c r="AF99" s="163">
        <v>0</v>
      </c>
      <c r="AG99" s="164">
        <v>0</v>
      </c>
      <c r="AH99" s="165">
        <v>0</v>
      </c>
      <c r="AI99" s="166">
        <v>0</v>
      </c>
      <c r="AJ99" s="167">
        <v>0</v>
      </c>
      <c r="AK99" s="168">
        <v>0</v>
      </c>
      <c r="AL99" s="163">
        <v>0</v>
      </c>
      <c r="AM99" s="164">
        <v>0</v>
      </c>
      <c r="AN99" s="165">
        <v>0</v>
      </c>
      <c r="AO99" s="166">
        <v>0</v>
      </c>
      <c r="AP99" s="167">
        <v>0</v>
      </c>
      <c r="AQ99" s="168">
        <v>0</v>
      </c>
      <c r="AR99" s="163">
        <v>0</v>
      </c>
      <c r="AS99" s="164">
        <v>0</v>
      </c>
      <c r="AT99" s="165">
        <v>0</v>
      </c>
      <c r="AU99" s="166">
        <v>0</v>
      </c>
      <c r="AV99" s="167">
        <v>0</v>
      </c>
      <c r="AW99" s="168">
        <v>0</v>
      </c>
      <c r="AX99" s="163">
        <v>0</v>
      </c>
      <c r="AY99" s="164">
        <v>0</v>
      </c>
      <c r="AZ99" s="165">
        <v>0</v>
      </c>
      <c r="BA99" s="166">
        <v>0</v>
      </c>
      <c r="BB99" s="167">
        <v>0</v>
      </c>
      <c r="BC99" s="168">
        <v>0</v>
      </c>
      <c r="BD99" s="163">
        <v>0</v>
      </c>
      <c r="BE99" s="164">
        <v>0</v>
      </c>
      <c r="BF99" s="165">
        <v>0</v>
      </c>
      <c r="BG99" s="166">
        <v>0</v>
      </c>
      <c r="BH99" s="167">
        <v>0</v>
      </c>
      <c r="BI99" s="168">
        <v>0</v>
      </c>
      <c r="BJ99" s="163">
        <v>0</v>
      </c>
      <c r="BK99" s="164">
        <v>0</v>
      </c>
      <c r="BL99" s="165">
        <v>0</v>
      </c>
      <c r="BM99" s="166">
        <v>0</v>
      </c>
      <c r="BN99" s="167">
        <v>0</v>
      </c>
      <c r="BO99" s="168">
        <v>0</v>
      </c>
      <c r="BP99" s="163">
        <v>0</v>
      </c>
      <c r="BQ99" s="164">
        <v>0</v>
      </c>
      <c r="BR99" s="165">
        <v>0</v>
      </c>
      <c r="BS99" s="166">
        <v>0</v>
      </c>
      <c r="BT99" s="167">
        <v>0</v>
      </c>
      <c r="BU99" s="168">
        <v>0</v>
      </c>
      <c r="BV99" s="163">
        <v>0</v>
      </c>
      <c r="BW99" s="164">
        <v>0</v>
      </c>
      <c r="BX99" s="165">
        <v>0</v>
      </c>
      <c r="BY99" s="166">
        <v>0</v>
      </c>
      <c r="BZ99" s="167">
        <v>0</v>
      </c>
      <c r="CA99" s="168">
        <v>0</v>
      </c>
      <c r="CB99" s="163">
        <v>0</v>
      </c>
      <c r="CC99" s="164">
        <v>0</v>
      </c>
      <c r="CD99" s="165">
        <v>0</v>
      </c>
      <c r="CE99" s="166">
        <v>0</v>
      </c>
      <c r="CF99" s="167">
        <v>0</v>
      </c>
      <c r="CG99" s="168">
        <v>0</v>
      </c>
      <c r="CH99" s="163">
        <v>0</v>
      </c>
      <c r="CI99" s="164">
        <v>0</v>
      </c>
      <c r="CJ99" s="165">
        <v>0</v>
      </c>
      <c r="CK99" s="166">
        <v>0</v>
      </c>
      <c r="CL99" s="167">
        <v>0</v>
      </c>
      <c r="CM99" s="168">
        <v>0</v>
      </c>
      <c r="CN99" s="163">
        <v>0</v>
      </c>
      <c r="CO99" s="164">
        <v>0</v>
      </c>
      <c r="CP99" s="165">
        <v>0</v>
      </c>
      <c r="CQ99" s="166">
        <v>0</v>
      </c>
      <c r="CR99" s="167">
        <v>0</v>
      </c>
      <c r="CS99" s="168">
        <v>0</v>
      </c>
      <c r="CT99" s="163">
        <v>0</v>
      </c>
      <c r="CU99" s="164">
        <v>0</v>
      </c>
      <c r="CV99" s="165">
        <v>0</v>
      </c>
      <c r="CW99" s="166">
        <v>0</v>
      </c>
      <c r="CX99" s="167">
        <v>0</v>
      </c>
      <c r="CY99" s="168">
        <v>0</v>
      </c>
      <c r="CZ99" s="163">
        <v>0</v>
      </c>
      <c r="DA99" s="164">
        <v>0</v>
      </c>
      <c r="DB99" s="165">
        <v>0</v>
      </c>
      <c r="DC99" s="174"/>
      <c r="DD99" s="174"/>
      <c r="DE99" s="170"/>
      <c r="DF99" s="171"/>
      <c r="DG99" s="278"/>
      <c r="DH99" s="170"/>
    </row>
    <row r="100" spans="1:112">
      <c r="F100" s="176"/>
    </row>
    <row r="101" spans="1:112">
      <c r="F101" s="176"/>
    </row>
    <row r="102" spans="1:112">
      <c r="F102" s="176"/>
    </row>
    <row r="500" spans="14:106">
      <c r="N500" s="228"/>
      <c r="O500" s="228"/>
      <c r="P500" s="228"/>
      <c r="Q500" s="228"/>
      <c r="R500" s="228"/>
      <c r="S500" s="228"/>
      <c r="T500" s="228"/>
      <c r="U500" s="228"/>
      <c r="V500" s="228"/>
      <c r="W500" s="228"/>
      <c r="X500" s="228"/>
      <c r="Y500" s="228"/>
      <c r="Z500" s="228"/>
      <c r="AA500" s="228"/>
      <c r="AB500" s="228"/>
      <c r="AC500" s="228"/>
      <c r="AD500" s="228"/>
      <c r="AE500" s="228"/>
      <c r="AF500" s="228"/>
      <c r="AG500" s="228"/>
      <c r="AH500" s="228"/>
      <c r="AI500" s="228"/>
      <c r="AJ500" s="228"/>
      <c r="AK500" s="228"/>
      <c r="AL500" s="228"/>
      <c r="AM500" s="228"/>
      <c r="AN500" s="228"/>
      <c r="AO500" s="228"/>
      <c r="AP500" s="228"/>
      <c r="AQ500" s="228"/>
      <c r="AR500" s="228"/>
      <c r="AS500" s="228"/>
      <c r="AT500" s="228"/>
      <c r="AU500" s="228"/>
      <c r="AV500" s="228"/>
      <c r="AW500" s="228"/>
      <c r="AX500" s="228"/>
      <c r="AY500" s="228"/>
      <c r="AZ500" s="228"/>
      <c r="BA500" s="228"/>
      <c r="BB500" s="228"/>
      <c r="BC500" s="228"/>
      <c r="BD500" s="228"/>
      <c r="BE500" s="228"/>
      <c r="BF500" s="228"/>
      <c r="BG500" s="228"/>
      <c r="BH500" s="228"/>
      <c r="BI500" s="228"/>
      <c r="BJ500" s="228"/>
      <c r="BK500" s="228"/>
      <c r="BL500" s="228"/>
      <c r="BM500" s="228"/>
      <c r="BN500" s="228"/>
      <c r="BO500" s="228"/>
      <c r="BP500" s="228"/>
      <c r="BQ500" s="228"/>
      <c r="BR500" s="228"/>
      <c r="BS500" s="228"/>
      <c r="BT500" s="228"/>
      <c r="BU500" s="228"/>
      <c r="BV500" s="228"/>
      <c r="BW500" s="228"/>
      <c r="BX500" s="228"/>
      <c r="BY500" s="228"/>
      <c r="BZ500" s="228"/>
      <c r="CA500" s="228"/>
      <c r="CB500" s="228"/>
      <c r="CC500" s="228"/>
      <c r="CD500" s="228"/>
      <c r="CE500" s="228"/>
      <c r="CF500" s="228"/>
      <c r="CG500" s="228"/>
      <c r="CH500" s="228"/>
      <c r="CI500" s="228"/>
      <c r="CJ500" s="228"/>
      <c r="CK500" s="228"/>
      <c r="CL500" s="228"/>
      <c r="CM500" s="228"/>
      <c r="CN500" s="228"/>
      <c r="CO500" s="228"/>
      <c r="CP500" s="228"/>
      <c r="CQ500" s="228"/>
      <c r="CR500" s="228"/>
      <c r="CS500" s="228"/>
      <c r="CT500" s="228"/>
      <c r="CU500" s="228"/>
      <c r="CV500" s="228"/>
      <c r="CW500" s="228"/>
      <c r="CX500" s="228"/>
      <c r="CY500" s="228"/>
      <c r="CZ500" s="228"/>
      <c r="DA500" s="228"/>
      <c r="DB500" s="228"/>
    </row>
  </sheetData>
  <sheetProtection algorithmName="SHA-512" hashValue="4lhG/Dxzb8fAhfHbMGY2qqXLl0RymPISx5DuKzlVKcPFEscmrh+E31FrBO9F+RLcYrnV6nNPkI9myI3iJFf6Kg==" saltValue="45fh1oF4YIDVaW04eqwA6Q==" spinCount="100000" sheet="1" formatCells="0" formatColumns="0" formatRows="0" insertHyperlinks="0" sort="0" autoFilter="0" pivotTables="0"/>
  <protectedRanges>
    <protectedRange password="CF7A" sqref="AZ14:BA14 AZ9:BM13 AY9:AY79 AP9:AX99 AP8:BN8 AG8:AH99 AL8:AL99 BN9:BN98 AZ55:BM79 R8:Y99 AZ15:BM52" name="vung nhap" securityDescriptor="O:WDG:WDD:(A;;CC;;;WD)"/>
    <protectedRange password="CF7A" sqref="AZ53:BM54" name="vung nhap_2" securityDescriptor="O:WDG:WDD:(A;;CC;;;WD)"/>
  </protectedRanges>
  <mergeCells count="80">
    <mergeCell ref="DE6:DE7"/>
    <mergeCell ref="DF6:DF7"/>
    <mergeCell ref="DG6:DG7"/>
    <mergeCell ref="DH6:DH7"/>
    <mergeCell ref="CQ6:CS6"/>
    <mergeCell ref="CT6:CV6"/>
    <mergeCell ref="CW6:CY6"/>
    <mergeCell ref="CZ6:DB6"/>
    <mergeCell ref="DC6:DC7"/>
    <mergeCell ref="DD6:DD7"/>
    <mergeCell ref="BA6:BC6"/>
    <mergeCell ref="CN6:CP6"/>
    <mergeCell ref="BG6:BI6"/>
    <mergeCell ref="BJ6:BL6"/>
    <mergeCell ref="BM6:BO6"/>
    <mergeCell ref="BP6:BR6"/>
    <mergeCell ref="BS6:BU6"/>
    <mergeCell ref="BV6:BX6"/>
    <mergeCell ref="BY6:CA6"/>
    <mergeCell ref="CB6:CD6"/>
    <mergeCell ref="CE6:CG6"/>
    <mergeCell ref="CH6:CJ6"/>
    <mergeCell ref="CK6:CM6"/>
    <mergeCell ref="AL6:AN6"/>
    <mergeCell ref="AO6:AQ6"/>
    <mergeCell ref="AR6:AT6"/>
    <mergeCell ref="AU6:AW6"/>
    <mergeCell ref="AX6:AZ6"/>
    <mergeCell ref="W6:Y6"/>
    <mergeCell ref="Z6:AB6"/>
    <mergeCell ref="AC6:AE6"/>
    <mergeCell ref="AF6:AH6"/>
    <mergeCell ref="AI6:AK6"/>
    <mergeCell ref="K6:K7"/>
    <mergeCell ref="L6:L7"/>
    <mergeCell ref="M6:M7"/>
    <mergeCell ref="N6:P6"/>
    <mergeCell ref="Q6:S6"/>
    <mergeCell ref="T6:V6"/>
    <mergeCell ref="CQ5:CS5"/>
    <mergeCell ref="CT5:CV5"/>
    <mergeCell ref="CW5:CY5"/>
    <mergeCell ref="CZ5:DB5"/>
    <mergeCell ref="CK5:CM5"/>
    <mergeCell ref="CN5:CP5"/>
    <mergeCell ref="BD5:BF5"/>
    <mergeCell ref="W5:Y5"/>
    <mergeCell ref="Z5:AB5"/>
    <mergeCell ref="AC5:AE5"/>
    <mergeCell ref="AF5:AH5"/>
    <mergeCell ref="AI5:AK5"/>
    <mergeCell ref="AL5:AN5"/>
    <mergeCell ref="T5:V5"/>
    <mergeCell ref="BD6:BF6"/>
    <mergeCell ref="A6:A7"/>
    <mergeCell ref="B6:B7"/>
    <mergeCell ref="C6:C7"/>
    <mergeCell ref="D6:D7"/>
    <mergeCell ref="E6:G6"/>
    <mergeCell ref="H6:J6"/>
    <mergeCell ref="BY5:CA5"/>
    <mergeCell ref="CB5:CD5"/>
    <mergeCell ref="CE5:CG5"/>
    <mergeCell ref="CH5:CJ5"/>
    <mergeCell ref="BG5:BI5"/>
    <mergeCell ref="BJ5:BL5"/>
    <mergeCell ref="BM5:BO5"/>
    <mergeCell ref="BP5:BR5"/>
    <mergeCell ref="BS5:BU5"/>
    <mergeCell ref="BV5:BX5"/>
    <mergeCell ref="AO5:AQ5"/>
    <mergeCell ref="AR5:AT5"/>
    <mergeCell ref="AU5:AW5"/>
    <mergeCell ref="AX5:AZ5"/>
    <mergeCell ref="BA5:BC5"/>
    <mergeCell ref="F1:N1"/>
    <mergeCell ref="A3:M3"/>
    <mergeCell ref="A4:M4"/>
    <mergeCell ref="N5:P5"/>
    <mergeCell ref="Q5:S5"/>
  </mergeCells>
  <pageMargins left="0" right="0" top="0" bottom="0" header="0.31496062992126" footer="0.31496062992126"/>
  <pageSetup paperSize="11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>
    <tabColor rgb="FFC00000"/>
  </sheetPr>
  <dimension ref="A1:CI78"/>
  <sheetViews>
    <sheetView showZeros="0" topLeftCell="A4" zoomScale="115" zoomScaleNormal="115" workbookViewId="0">
      <pane xSplit="4" ySplit="4" topLeftCell="E8" activePane="bottomRight" state="frozen"/>
      <selection activeCell="A4" sqref="A4"/>
      <selection pane="topRight" activeCell="E4" sqref="E4"/>
      <selection pane="bottomLeft" activeCell="A8" sqref="A8"/>
      <selection pane="bottomRight" activeCell="I7" sqref="I7"/>
    </sheetView>
  </sheetViews>
  <sheetFormatPr defaultColWidth="9" defaultRowHeight="12.75"/>
  <cols>
    <col min="1" max="1" width="5" style="4" customWidth="1"/>
    <col min="2" max="2" width="12.7109375" style="3" customWidth="1"/>
    <col min="3" max="3" width="23.85546875" style="4" customWidth="1"/>
    <col min="4" max="4" width="19.140625" style="3" customWidth="1"/>
    <col min="5" max="5" width="9.42578125" style="5" customWidth="1"/>
    <col min="6" max="7" width="12.85546875" style="5" customWidth="1"/>
    <col min="8" max="8" width="7.85546875" style="5" customWidth="1"/>
    <col min="9" max="9" width="15.85546875" style="5" customWidth="1"/>
    <col min="10" max="11" width="11.5703125" style="5" customWidth="1"/>
    <col min="12" max="12" width="17" style="5" customWidth="1"/>
    <col min="13" max="14" width="11.5703125" style="5" customWidth="1"/>
    <col min="15" max="16" width="14" style="5" customWidth="1"/>
    <col min="17" max="17" width="11.5703125" style="5" customWidth="1"/>
    <col min="18" max="18" width="14.28515625" style="5" customWidth="1"/>
    <col min="19" max="19" width="14" style="5" customWidth="1"/>
    <col min="20" max="20" width="11.140625" style="281" customWidth="1"/>
    <col min="21" max="21" width="14.28515625" style="5" customWidth="1"/>
    <col min="22" max="22" width="14.28515625" style="281" customWidth="1"/>
    <col min="23" max="23" width="10.7109375" style="281" customWidth="1"/>
    <col min="24" max="24" width="18" style="281" customWidth="1"/>
    <col min="25" max="25" width="9.85546875" style="281" customWidth="1"/>
    <col min="26" max="26" width="11.28515625" style="5" customWidth="1"/>
    <col min="27" max="27" width="14.28515625" style="5" customWidth="1"/>
    <col min="28" max="28" width="20.28515625" style="5" customWidth="1"/>
    <col min="29" max="29" width="10.42578125" style="5" customWidth="1"/>
    <col min="30" max="31" width="17" style="5" customWidth="1"/>
    <col min="32" max="32" width="9.7109375" style="5" customWidth="1"/>
    <col min="33" max="34" width="13.28515625" style="5" customWidth="1"/>
    <col min="35" max="35" width="8.85546875" style="5" customWidth="1"/>
    <col min="36" max="37" width="13" style="5" customWidth="1"/>
    <col min="38" max="38" width="9.140625" style="5" customWidth="1"/>
    <col min="39" max="40" width="12.7109375" style="5" customWidth="1"/>
    <col min="41" max="41" width="13.140625" style="5" customWidth="1"/>
    <col min="42" max="42" width="15.7109375" style="5" customWidth="1"/>
    <col min="43" max="43" width="14.28515625" style="5" customWidth="1"/>
    <col min="44" max="44" width="12.5703125" style="5" customWidth="1"/>
    <col min="45" max="46" width="12.42578125" style="5" customWidth="1"/>
    <col min="47" max="48" width="11.140625" style="5" customWidth="1"/>
    <col min="49" max="54" width="12.85546875" style="5" customWidth="1"/>
    <col min="55" max="56" width="13" style="5" customWidth="1"/>
    <col min="57" max="57" width="14.140625" style="5" customWidth="1"/>
    <col min="58" max="58" width="10.7109375" style="5" customWidth="1"/>
    <col min="59" max="59" width="15" style="5" customWidth="1"/>
    <col min="60" max="60" width="11.42578125" style="5" customWidth="1"/>
    <col min="61" max="62" width="11.140625" style="5" customWidth="1"/>
    <col min="63" max="63" width="12.85546875" style="5" customWidth="1"/>
    <col min="64" max="64" width="11.140625" style="87" customWidth="1"/>
    <col min="65" max="65" width="13.28515625" style="5" customWidth="1"/>
    <col min="66" max="66" width="11.5703125" style="5" customWidth="1"/>
    <col min="67" max="67" width="14.28515625" style="5" customWidth="1"/>
    <col min="68" max="74" width="13.42578125" style="14" customWidth="1"/>
    <col min="75" max="76" width="12.7109375" style="4" customWidth="1"/>
    <col min="77" max="77" width="9.5703125" style="4" customWidth="1"/>
    <col min="78" max="78" width="12.7109375" style="4" customWidth="1"/>
    <col min="79" max="79" width="7.85546875" style="4" customWidth="1"/>
    <col min="80" max="80" width="12.7109375" style="4" customWidth="1"/>
    <col min="81" max="81" width="12.28515625" style="4" customWidth="1"/>
    <col min="82" max="83" width="12.7109375" style="4" customWidth="1"/>
    <col min="84" max="85" width="16.5703125" style="4" customWidth="1"/>
    <col min="86" max="86" width="13.42578125" style="4" customWidth="1"/>
    <col min="87" max="87" width="13.5703125" style="4" bestFit="1" customWidth="1"/>
    <col min="88" max="16384" width="9" style="4"/>
  </cols>
  <sheetData>
    <row r="1" spans="1:87" hidden="1"/>
    <row r="2" spans="1:87" hidden="1"/>
    <row r="3" spans="1:87" hidden="1">
      <c r="A3" s="2" t="s">
        <v>6</v>
      </c>
    </row>
    <row r="4" spans="1:87">
      <c r="B4" s="4"/>
      <c r="C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6" t="s">
        <v>266</v>
      </c>
      <c r="Q4" s="315">
        <f>8*R4</f>
        <v>152</v>
      </c>
      <c r="R4" s="6">
        <v>19</v>
      </c>
      <c r="S4" s="3"/>
      <c r="T4" s="282"/>
      <c r="U4" s="3"/>
      <c r="V4" s="282"/>
      <c r="W4" s="282"/>
      <c r="X4" s="282"/>
      <c r="Y4" s="282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88"/>
      <c r="BM4" s="3"/>
      <c r="BN4" s="3"/>
      <c r="BO4" s="3"/>
    </row>
    <row r="5" spans="1:87" ht="18.75" customHeight="1">
      <c r="B5" s="4"/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6" t="s">
        <v>255</v>
      </c>
      <c r="Q5" s="315">
        <f>8*R5</f>
        <v>148</v>
      </c>
      <c r="R5" s="6">
        <v>18.5</v>
      </c>
      <c r="S5" s="4"/>
      <c r="T5" s="283"/>
      <c r="U5" s="4"/>
      <c r="V5" s="283"/>
      <c r="W5" s="283"/>
      <c r="X5" s="283"/>
      <c r="Y5" s="283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89"/>
      <c r="BM5" s="4"/>
      <c r="BN5" s="4"/>
      <c r="BO5" s="4"/>
    </row>
    <row r="6" spans="1:87" ht="16.5" customHeight="1">
      <c r="A6" s="20"/>
      <c r="B6" s="20"/>
      <c r="C6" s="20"/>
      <c r="D6" s="20"/>
      <c r="E6" s="20"/>
      <c r="F6" s="20"/>
      <c r="G6" s="20"/>
      <c r="H6" s="20"/>
      <c r="I6" s="20"/>
      <c r="J6" s="20"/>
      <c r="K6" s="20"/>
      <c r="L6" s="20"/>
      <c r="M6" s="20"/>
      <c r="N6" s="20"/>
      <c r="O6" s="20"/>
      <c r="P6" s="20"/>
      <c r="Q6" s="20"/>
      <c r="R6" s="20"/>
      <c r="S6" s="20"/>
      <c r="T6" s="20"/>
      <c r="U6" s="20"/>
      <c r="V6" s="20"/>
      <c r="W6" s="20"/>
      <c r="X6" s="20"/>
      <c r="Y6" s="20"/>
      <c r="Z6" s="20"/>
      <c r="AA6" s="20"/>
      <c r="AB6" s="20"/>
      <c r="AC6" s="20"/>
      <c r="AD6" s="20"/>
      <c r="AE6" s="20"/>
      <c r="AF6" s="20"/>
      <c r="AG6" s="20"/>
      <c r="AH6" s="20"/>
      <c r="AI6" s="20"/>
      <c r="AJ6" s="20"/>
      <c r="AK6" s="20"/>
      <c r="AL6" s="20"/>
      <c r="AM6" s="20"/>
      <c r="AN6" s="20"/>
      <c r="AO6" s="20"/>
      <c r="AP6" s="20"/>
      <c r="AQ6" s="20"/>
      <c r="AR6" s="20"/>
      <c r="AS6" s="20"/>
      <c r="AT6" s="20"/>
      <c r="AU6" s="20"/>
      <c r="AV6" s="20"/>
      <c r="AW6" s="20"/>
      <c r="AX6" s="20"/>
      <c r="AY6" s="20"/>
      <c r="AZ6" s="20"/>
      <c r="BA6" s="20"/>
      <c r="BB6" s="20"/>
      <c r="BC6" s="20"/>
      <c r="BD6" s="20"/>
      <c r="BE6" s="20"/>
      <c r="BF6" s="20"/>
      <c r="BG6" s="20"/>
      <c r="BH6" s="20"/>
      <c r="BI6" s="20"/>
      <c r="BJ6" s="20"/>
      <c r="BK6" s="20"/>
      <c r="BL6" s="20"/>
      <c r="BM6" s="20"/>
      <c r="BN6" s="20"/>
      <c r="BO6" s="20"/>
      <c r="BP6" s="20"/>
      <c r="BQ6" s="20"/>
      <c r="BR6" s="20"/>
      <c r="BS6" s="20"/>
      <c r="BT6" s="20"/>
      <c r="BU6" s="20"/>
      <c r="BV6" s="20"/>
      <c r="BW6" s="20"/>
      <c r="BX6" s="20"/>
      <c r="BY6" s="20"/>
      <c r="BZ6" s="20"/>
      <c r="CA6" s="20"/>
      <c r="CB6" s="20"/>
      <c r="CC6" s="20"/>
      <c r="CD6" s="20"/>
      <c r="CE6" s="20"/>
      <c r="CF6" s="20"/>
      <c r="CG6" s="20"/>
      <c r="CH6" s="20"/>
    </row>
    <row r="7" spans="1:87" s="21" customFormat="1" ht="45" customHeight="1">
      <c r="A7" s="67" t="s">
        <v>7</v>
      </c>
      <c r="B7" s="67" t="s">
        <v>8</v>
      </c>
      <c r="C7" s="67" t="s">
        <v>0</v>
      </c>
      <c r="D7" s="67" t="s">
        <v>11</v>
      </c>
      <c r="E7" s="71" t="s">
        <v>83</v>
      </c>
      <c r="F7" s="71" t="s">
        <v>113</v>
      </c>
      <c r="G7" s="68" t="s">
        <v>10</v>
      </c>
      <c r="H7" s="71" t="s">
        <v>66</v>
      </c>
      <c r="I7" s="71" t="s">
        <v>114</v>
      </c>
      <c r="J7" s="68" t="s">
        <v>10</v>
      </c>
      <c r="K7" s="71" t="s">
        <v>133</v>
      </c>
      <c r="L7" s="71" t="s">
        <v>132</v>
      </c>
      <c r="M7" s="68" t="s">
        <v>10</v>
      </c>
      <c r="N7" s="68" t="s">
        <v>126</v>
      </c>
      <c r="O7" s="71" t="s">
        <v>70</v>
      </c>
      <c r="P7" s="68" t="s">
        <v>10</v>
      </c>
      <c r="Q7" s="69" t="s">
        <v>33</v>
      </c>
      <c r="R7" s="71" t="s">
        <v>376</v>
      </c>
      <c r="S7" s="68" t="s">
        <v>10</v>
      </c>
      <c r="T7" s="444" t="s">
        <v>377</v>
      </c>
      <c r="U7" s="82" t="s">
        <v>44</v>
      </c>
      <c r="V7" s="284" t="s">
        <v>10</v>
      </c>
      <c r="W7" s="443" t="s">
        <v>377</v>
      </c>
      <c r="X7" s="440" t="s">
        <v>375</v>
      </c>
      <c r="Y7" s="284" t="s">
        <v>10</v>
      </c>
      <c r="Z7" s="443" t="s">
        <v>377</v>
      </c>
      <c r="AA7" s="83" t="s">
        <v>45</v>
      </c>
      <c r="AB7" s="70" t="s">
        <v>10</v>
      </c>
      <c r="AC7" s="71" t="s">
        <v>60</v>
      </c>
      <c r="AD7" s="71" t="s">
        <v>61</v>
      </c>
      <c r="AE7" s="68" t="s">
        <v>10</v>
      </c>
      <c r="AF7" s="71" t="s">
        <v>83</v>
      </c>
      <c r="AG7" s="71" t="s">
        <v>115</v>
      </c>
      <c r="AH7" s="68" t="s">
        <v>10</v>
      </c>
      <c r="AI7" s="71" t="s">
        <v>66</v>
      </c>
      <c r="AJ7" s="71" t="s">
        <v>116</v>
      </c>
      <c r="AK7" s="68" t="s">
        <v>10</v>
      </c>
      <c r="AL7" s="71" t="s">
        <v>48</v>
      </c>
      <c r="AM7" s="71" t="s">
        <v>62</v>
      </c>
      <c r="AN7" s="68" t="s">
        <v>10</v>
      </c>
      <c r="AO7" s="71" t="s">
        <v>64</v>
      </c>
      <c r="AP7" s="71" t="s">
        <v>94</v>
      </c>
      <c r="AQ7" s="68" t="s">
        <v>10</v>
      </c>
      <c r="AR7" s="71" t="s">
        <v>95</v>
      </c>
      <c r="AS7" s="71" t="s">
        <v>96</v>
      </c>
      <c r="AT7" s="68" t="s">
        <v>10</v>
      </c>
      <c r="AU7" s="71" t="s">
        <v>99</v>
      </c>
      <c r="AV7" s="71" t="s">
        <v>97</v>
      </c>
      <c r="AW7" s="66" t="s">
        <v>92</v>
      </c>
      <c r="AX7" s="72" t="s">
        <v>10</v>
      </c>
      <c r="AY7" s="66" t="s">
        <v>100</v>
      </c>
      <c r="AZ7" s="71" t="s">
        <v>98</v>
      </c>
      <c r="BA7" s="66" t="s">
        <v>110</v>
      </c>
      <c r="BB7" s="72" t="s">
        <v>10</v>
      </c>
      <c r="BC7" s="66" t="s">
        <v>47</v>
      </c>
      <c r="BD7" s="72" t="s">
        <v>10</v>
      </c>
      <c r="BE7" s="66" t="s">
        <v>46</v>
      </c>
      <c r="BF7" s="72" t="s">
        <v>10</v>
      </c>
      <c r="BG7" s="84" t="s">
        <v>76</v>
      </c>
      <c r="BH7" s="73" t="s">
        <v>10</v>
      </c>
      <c r="BI7" s="439" t="s">
        <v>330</v>
      </c>
      <c r="BJ7" s="72" t="s">
        <v>10</v>
      </c>
      <c r="BK7" s="84" t="s">
        <v>75</v>
      </c>
      <c r="BL7" s="90" t="s">
        <v>10</v>
      </c>
      <c r="BM7" s="84" t="s">
        <v>117</v>
      </c>
      <c r="BN7" s="73" t="s">
        <v>10</v>
      </c>
      <c r="BO7" s="85" t="s">
        <v>101</v>
      </c>
      <c r="BP7" s="86" t="s">
        <v>111</v>
      </c>
      <c r="BQ7" s="74" t="s">
        <v>10</v>
      </c>
      <c r="BR7" s="66" t="s">
        <v>34</v>
      </c>
      <c r="BS7" s="75" t="s">
        <v>10</v>
      </c>
      <c r="BT7" s="66" t="s">
        <v>313</v>
      </c>
      <c r="BU7" s="72" t="s">
        <v>10</v>
      </c>
      <c r="BV7" s="72" t="s">
        <v>127</v>
      </c>
      <c r="BW7" s="72" t="s">
        <v>10</v>
      </c>
      <c r="BX7" s="72" t="s">
        <v>128</v>
      </c>
      <c r="BY7" s="72" t="s">
        <v>10</v>
      </c>
      <c r="BZ7" s="327" t="s">
        <v>129</v>
      </c>
      <c r="CA7" s="72" t="s">
        <v>10</v>
      </c>
      <c r="CB7" s="327" t="s">
        <v>130</v>
      </c>
      <c r="CC7" s="72" t="s">
        <v>10</v>
      </c>
      <c r="CD7" s="442" t="s">
        <v>378</v>
      </c>
      <c r="CE7" s="72" t="s">
        <v>10</v>
      </c>
      <c r="CF7" s="67" t="s">
        <v>63</v>
      </c>
      <c r="CG7" s="66" t="s">
        <v>125</v>
      </c>
      <c r="CH7" s="66" t="s">
        <v>121</v>
      </c>
    </row>
    <row r="8" spans="1:87" s="1" customFormat="1" ht="19.5" customHeight="1">
      <c r="A8" s="12">
        <f>'Danh muc'!A8</f>
        <v>1</v>
      </c>
      <c r="B8" s="6">
        <f>'Danh muc'!B8</f>
        <v>15110600</v>
      </c>
      <c r="C8" s="11" t="str">
        <f>'Danh muc'!C8</f>
        <v>Nguyễn Được Thưởng</v>
      </c>
      <c r="D8" s="12" t="str">
        <f>'Danh muc'!E8</f>
        <v>Quản lý sản xuất</v>
      </c>
      <c r="E8" s="13"/>
      <c r="F8" s="13">
        <f>$E8*'Danh muc'!$H8</f>
        <v>0</v>
      </c>
      <c r="G8" s="13">
        <f>'Danh muc'!J8</f>
        <v>0</v>
      </c>
      <c r="H8" s="13"/>
      <c r="I8" s="13">
        <f>$H8*'Danh muc'!$I8</f>
        <v>0</v>
      </c>
      <c r="J8" s="13"/>
      <c r="K8" s="13"/>
      <c r="L8" s="13">
        <f>'Danh muc'!L8*'Bảng tính toán'!K8</f>
        <v>0</v>
      </c>
      <c r="M8" s="13"/>
      <c r="N8" s="13"/>
      <c r="O8" s="13">
        <f>'Danh muc'!M8/26*'Bảng tính toán'!N8</f>
        <v>0</v>
      </c>
      <c r="P8" s="13"/>
      <c r="Q8" s="316">
        <f>IF((' Bảng nhập công'!$E8+' Bảng nhập công'!$F8)&gt;='Bảng tính toán'!$Q$5,'Bảng tính toán'!$Q$5,(' Bảng nhập công'!$E8+' Bảng nhập công'!$F8))</f>
        <v>0</v>
      </c>
      <c r="R8" s="25">
        <f>$Q8*'Danh muc'!$O8</f>
        <v>0</v>
      </c>
      <c r="S8" s="25">
        <f>'Danh muc'!N8</f>
        <v>13000000</v>
      </c>
      <c r="T8" s="22">
        <f>' Bảng nhập công'!DE8+' Bảng nhập công'!DF8</f>
        <v>0</v>
      </c>
      <c r="U8" s="25">
        <f>IF(OR(' Bảng nhập công'!DE8&gt;=3,' Bảng nhập công'!DF8&gt;=2),0,IF(OR(' Bảng nhập công'!DE8=2,' Bảng nhập công'!DF8=1),('Danh muc'!Q8/2),'Danh muc'!Q8))</f>
        <v>500000</v>
      </c>
      <c r="V8" s="22"/>
      <c r="W8" s="22">
        <f>T8</f>
        <v>0</v>
      </c>
      <c r="X8" s="25">
        <v>1000000</v>
      </c>
      <c r="Y8" s="22"/>
      <c r="Z8" s="22">
        <f>T8</f>
        <v>0</v>
      </c>
      <c r="AA8" s="25">
        <f>AB8-(AB8/26*6)</f>
        <v>6769230.7692307699</v>
      </c>
      <c r="AB8" s="13">
        <f>'Danh muc'!S8</f>
        <v>8800000</v>
      </c>
      <c r="AC8" s="22">
        <f>IF(' Bảng nhập công'!E8&gt;'Bảng tính toán'!$Q$5,(' Bảng nhập công'!E8-'Bảng tính toán'!$Q$5),0)+' Bảng nhập công'!G8</f>
        <v>0</v>
      </c>
      <c r="AD8" s="229">
        <f>AC8*'Danh muc'!P8</f>
        <v>0</v>
      </c>
      <c r="AE8" s="23"/>
      <c r="AF8" s="22">
        <f>' Bảng nhập công'!$K8</f>
        <v>0</v>
      </c>
      <c r="AG8" s="229">
        <f>$AF8*'Danh muc'!$V8</f>
        <v>0</v>
      </c>
      <c r="AH8" s="23"/>
      <c r="AI8" s="23">
        <f>' Bảng nhập công'!$L8</f>
        <v>0</v>
      </c>
      <c r="AJ8" s="25">
        <f>$AI8*'Danh muc'!$U8</f>
        <v>0</v>
      </c>
      <c r="AK8" s="13"/>
      <c r="AL8" s="23">
        <f>' Bảng nhập công'!$M8</f>
        <v>0</v>
      </c>
      <c r="AM8" s="229">
        <f>$AL8*'Danh muc'!$T8</f>
        <v>0</v>
      </c>
      <c r="AN8" s="23"/>
      <c r="AO8" s="24">
        <f>' Bảng nhập công'!$DC8</f>
        <v>0</v>
      </c>
      <c r="AP8" s="230">
        <f>$AO8*'Danh muc'!$O8*8</f>
        <v>0</v>
      </c>
      <c r="AQ8" s="445"/>
      <c r="AR8" s="13">
        <f>' Bảng nhập công'!$DD8</f>
        <v>1</v>
      </c>
      <c r="AS8" s="25">
        <f>$AR8*'Danh muc'!$O8*8</f>
        <v>509803.92156862747</v>
      </c>
      <c r="AT8" s="13"/>
      <c r="AU8" s="13"/>
      <c r="AV8" s="13"/>
      <c r="AW8" s="25">
        <f t="shared" ref="AW8:AW71" si="0">AV8*AU8</f>
        <v>0</v>
      </c>
      <c r="AX8" s="13"/>
      <c r="AY8" s="13"/>
      <c r="AZ8" s="25"/>
      <c r="BA8" s="25">
        <f t="shared" ref="BA8:BA71" si="1">AZ8*AY8</f>
        <v>0</v>
      </c>
      <c r="BB8" s="13"/>
      <c r="BC8" s="25"/>
      <c r="BD8" s="13"/>
      <c r="BE8" s="295"/>
      <c r="BF8" s="446"/>
      <c r="BG8" s="295"/>
      <c r="BH8" s="446"/>
      <c r="BI8" s="295"/>
      <c r="BJ8" s="446"/>
      <c r="BK8" s="295"/>
      <c r="BL8" s="448"/>
      <c r="BM8" s="295"/>
      <c r="BN8" s="446"/>
      <c r="BO8" s="317">
        <f>F8+I8+L8+O8+R8+U8+AA8+AD8+AG8+AJ8+AM8+AP8+AS8+AW8+BA8+BC8+BE8+BG8+BI8+BK8+BM8</f>
        <v>7779034.6907993974</v>
      </c>
      <c r="BP8" s="449">
        <f>'Danh muc'!$X8</f>
        <v>1365000</v>
      </c>
      <c r="BQ8" s="322"/>
      <c r="BR8" s="449"/>
      <c r="BS8" s="322"/>
      <c r="BT8" s="449">
        <f>'Danh muc'!N8*0.5%</f>
        <v>65000</v>
      </c>
      <c r="BU8" s="322"/>
      <c r="BV8" s="319">
        <f>' Bảng nhập công'!DE8</f>
        <v>0</v>
      </c>
      <c r="BW8" s="27"/>
      <c r="BX8" s="320">
        <f>' Bảng nhập công'!DF8</f>
        <v>0</v>
      </c>
      <c r="BY8" s="27"/>
      <c r="BZ8" s="320"/>
      <c r="CA8" s="27"/>
      <c r="CB8" s="320"/>
      <c r="CC8" s="27"/>
      <c r="CD8" s="450"/>
      <c r="CE8" s="27"/>
      <c r="CF8" s="321">
        <f>FLOOR((BO8-BP8-BR8-BT8-CD8),1000)</f>
        <v>6349000</v>
      </c>
      <c r="CG8" s="11" t="s">
        <v>131</v>
      </c>
      <c r="CH8" s="27">
        <f>'Danh muc'!$W8</f>
        <v>2795000</v>
      </c>
      <c r="CI8" s="280"/>
    </row>
    <row r="9" spans="1:87" s="1" customFormat="1" ht="19.5" customHeight="1">
      <c r="A9" s="12">
        <f>'Danh muc'!A9</f>
        <v>2</v>
      </c>
      <c r="B9" s="6">
        <f>'Danh muc'!B9</f>
        <v>20122900</v>
      </c>
      <c r="C9" s="11" t="str">
        <f>'Danh muc'!C9</f>
        <v>Nguyễn Thị Liến</v>
      </c>
      <c r="D9" s="12" t="str">
        <f>'Danh muc'!E9</f>
        <v>Mua hàng</v>
      </c>
      <c r="E9" s="13">
        <f>' Bảng nhập công'!$H9</f>
        <v>0</v>
      </c>
      <c r="F9" s="13">
        <f>$E9*'Danh muc'!$H9</f>
        <v>0</v>
      </c>
      <c r="G9" s="13">
        <f>'Danh muc'!J9</f>
        <v>10000</v>
      </c>
      <c r="H9" s="13">
        <f>' Bảng nhập công'!$L9</f>
        <v>0</v>
      </c>
      <c r="I9" s="13">
        <f>$H9*'Danh muc'!$I9</f>
        <v>0</v>
      </c>
      <c r="J9" s="13"/>
      <c r="K9" s="13">
        <f>' Bảng nhập công'!J9</f>
        <v>0</v>
      </c>
      <c r="L9" s="13">
        <f>'Danh muc'!L9*'Bảng tính toán'!K9</f>
        <v>0</v>
      </c>
      <c r="M9" s="13"/>
      <c r="N9" s="13"/>
      <c r="O9" s="13">
        <f>'Danh muc'!$M9/26*' Bảng nhập công'!H9</f>
        <v>0</v>
      </c>
      <c r="P9" s="13"/>
      <c r="Q9" s="316">
        <f>IF((' Bảng nhập công'!$E9+' Bảng nhập công'!$F9)&gt;='Bảng tính toán'!$Q$5,'Bảng tính toán'!$Q$5,(' Bảng nhập công'!$E9+' Bảng nhập công'!$F9))</f>
        <v>0</v>
      </c>
      <c r="R9" s="25">
        <f>$Q9*'Danh muc'!$O9</f>
        <v>0</v>
      </c>
      <c r="S9" s="25">
        <f>'Danh muc'!N9</f>
        <v>8500000</v>
      </c>
      <c r="T9" s="22">
        <f>' Bảng nhập công'!DE9+' Bảng nhập công'!DF9</f>
        <v>0</v>
      </c>
      <c r="U9" s="25">
        <f>IF(OR(' Bảng nhập công'!DE9&gt;=3,' Bảng nhập công'!DF9&gt;=2),0,IF(OR(' Bảng nhập công'!DE9=2,' Bảng nhập công'!DF9=1),('Danh muc'!Q9/2),'Danh muc'!Q9))</f>
        <v>500000</v>
      </c>
      <c r="V9" s="22"/>
      <c r="W9" s="22">
        <f t="shared" ref="W9:W72" si="2">T9</f>
        <v>0</v>
      </c>
      <c r="X9" s="25">
        <v>999999</v>
      </c>
      <c r="Y9" s="22"/>
      <c r="Z9" s="22">
        <f>T9</f>
        <v>0</v>
      </c>
      <c r="AA9" s="25">
        <f>AB9-(AB9/26*6)</f>
        <v>2384615.3846153845</v>
      </c>
      <c r="AB9" s="13">
        <f>'Danh muc'!S9</f>
        <v>3100000</v>
      </c>
      <c r="AC9" s="22">
        <f>IF(' Bảng nhập công'!E9&gt;'Bảng tính toán'!$Q$5,(' Bảng nhập công'!E9-'Bảng tính toán'!$Q$5),0)+' Bảng nhập công'!G9</f>
        <v>0</v>
      </c>
      <c r="AD9" s="229">
        <f>AC9*'Danh muc'!P9</f>
        <v>0</v>
      </c>
      <c r="AE9" s="23"/>
      <c r="AF9" s="22">
        <f>' Bảng nhập công'!$K9</f>
        <v>0</v>
      </c>
      <c r="AG9" s="229">
        <f>$AF9*'Danh muc'!$V9</f>
        <v>0</v>
      </c>
      <c r="AH9" s="23"/>
      <c r="AI9" s="23">
        <f>' Bảng nhập công'!$L9</f>
        <v>0</v>
      </c>
      <c r="AJ9" s="25">
        <f>$AI9*'Danh muc'!$U9</f>
        <v>0</v>
      </c>
      <c r="AK9" s="13"/>
      <c r="AL9" s="23">
        <f>' Bảng nhập công'!$M9</f>
        <v>0</v>
      </c>
      <c r="AM9" s="229">
        <f>$AL9*'Danh muc'!$T9</f>
        <v>0</v>
      </c>
      <c r="AN9" s="23"/>
      <c r="AO9" s="24">
        <f>' Bảng nhập công'!$DC9</f>
        <v>0</v>
      </c>
      <c r="AP9" s="230">
        <f>$AO9*'Danh muc'!$O9*8</f>
        <v>0</v>
      </c>
      <c r="AQ9" s="445"/>
      <c r="AR9" s="13">
        <f>' Bảng nhập công'!$DD9</f>
        <v>1</v>
      </c>
      <c r="AS9" s="25">
        <f>$AR9*'Danh muc'!$O9*8</f>
        <v>333333.33333333331</v>
      </c>
      <c r="AT9" s="13"/>
      <c r="AU9" s="13"/>
      <c r="AV9" s="13"/>
      <c r="AW9" s="25">
        <f>AV9*AU9</f>
        <v>0</v>
      </c>
      <c r="AX9" s="13"/>
      <c r="AY9" s="13"/>
      <c r="AZ9" s="25"/>
      <c r="BA9" s="25">
        <f>AZ9*AY9</f>
        <v>0</v>
      </c>
      <c r="BB9" s="13"/>
      <c r="BC9" s="25"/>
      <c r="BD9" s="13"/>
      <c r="BE9" s="295"/>
      <c r="BF9" s="446"/>
      <c r="BG9" s="295"/>
      <c r="BH9" s="446"/>
      <c r="BI9" s="295"/>
      <c r="BJ9" s="446"/>
      <c r="BK9" s="295"/>
      <c r="BL9" s="448"/>
      <c r="BM9" s="295"/>
      <c r="BN9" s="446"/>
      <c r="BO9" s="317">
        <f>F9+I9+L9+O9+R9+U9+AA9+AD9+AG9+AJ9+AM9+AP9+AS9+AW9+BA9+BC9+BE9+BG9+BI9+BK9+BM9</f>
        <v>3217948.717948718</v>
      </c>
      <c r="BP9" s="449">
        <f>'Danh muc'!$X9</f>
        <v>892500</v>
      </c>
      <c r="BQ9" s="322"/>
      <c r="BR9" s="449"/>
      <c r="BS9" s="322"/>
      <c r="BT9" s="449">
        <f>'Danh muc'!N9*0.5%</f>
        <v>42500</v>
      </c>
      <c r="BU9" s="322"/>
      <c r="BV9" s="319">
        <f>' Bảng nhập công'!DE9</f>
        <v>0</v>
      </c>
      <c r="BW9" s="27"/>
      <c r="BX9" s="320">
        <f>' Bảng nhập công'!DF9</f>
        <v>0</v>
      </c>
      <c r="BY9" s="27"/>
      <c r="BZ9" s="320"/>
      <c r="CA9" s="27"/>
      <c r="CB9" s="320"/>
      <c r="CC9" s="27"/>
      <c r="CD9" s="450"/>
      <c r="CE9" s="27"/>
      <c r="CF9" s="321">
        <f>FLOOR((BO9-BP9-BR9-BT9-CD9),1000)</f>
        <v>2282000</v>
      </c>
      <c r="CG9" s="11" t="s">
        <v>131</v>
      </c>
      <c r="CH9" s="27">
        <f>'Danh muc'!$W9</f>
        <v>1827500</v>
      </c>
      <c r="CI9" s="280"/>
    </row>
    <row r="10" spans="1:87" s="1" customFormat="1" ht="19.5" customHeight="1">
      <c r="A10" s="12">
        <f>'Danh muc'!A10</f>
        <v>3</v>
      </c>
      <c r="B10" s="6">
        <f>'Danh muc'!B10</f>
        <v>20020700</v>
      </c>
      <c r="C10" s="11" t="str">
        <f>'Danh muc'!C10</f>
        <v>Phan Hiệp Thành Danh</v>
      </c>
      <c r="D10" s="12" t="str">
        <f>'Danh muc'!E10</f>
        <v>Kho</v>
      </c>
      <c r="E10" s="13">
        <f>' Bảng nhập công'!$H10</f>
        <v>0</v>
      </c>
      <c r="F10" s="13">
        <f>$E10*'Danh muc'!$H10</f>
        <v>0</v>
      </c>
      <c r="G10" s="13">
        <f>'Danh muc'!J10</f>
        <v>0</v>
      </c>
      <c r="H10" s="13">
        <f>' Bảng nhập công'!$L10</f>
        <v>0</v>
      </c>
      <c r="I10" s="13">
        <f>$H10*'Danh muc'!$I10</f>
        <v>0</v>
      </c>
      <c r="J10" s="13"/>
      <c r="K10" s="13">
        <f>' Bảng nhập công'!J10</f>
        <v>0</v>
      </c>
      <c r="L10" s="13">
        <f>'Danh muc'!L10*'Bảng tính toán'!K10</f>
        <v>0</v>
      </c>
      <c r="M10" s="13"/>
      <c r="N10" s="13"/>
      <c r="O10" s="13">
        <f>'Danh muc'!$M10/26*' Bảng nhập công'!H10</f>
        <v>0</v>
      </c>
      <c r="P10" s="13"/>
      <c r="Q10" s="316">
        <f>IF((' Bảng nhập công'!$E10+' Bảng nhập công'!$F10)&gt;='Bảng tính toán'!$Q$5,'Bảng tính toán'!$Q$5,(' Bảng nhập công'!$E10+' Bảng nhập công'!$F10))</f>
        <v>0</v>
      </c>
      <c r="R10" s="25">
        <f>$Q10*'Danh muc'!$O10</f>
        <v>0</v>
      </c>
      <c r="S10" s="25">
        <f>'Danh muc'!N10</f>
        <v>8500000</v>
      </c>
      <c r="T10" s="22">
        <f>' Bảng nhập công'!DE10+' Bảng nhập công'!DF10</f>
        <v>0</v>
      </c>
      <c r="U10" s="25">
        <f>IF(OR(' Bảng nhập công'!DE10&gt;=3,' Bảng nhập công'!DF10&gt;=2),0,IF(OR(' Bảng nhập công'!DE10=2,' Bảng nhập công'!DF10=1),('Danh muc'!Q10/2),'Danh muc'!Q10))</f>
        <v>500000</v>
      </c>
      <c r="V10" s="22"/>
      <c r="W10" s="22">
        <f t="shared" si="2"/>
        <v>0</v>
      </c>
      <c r="X10" s="25">
        <v>1000000</v>
      </c>
      <c r="Y10" s="22"/>
      <c r="Z10" s="22">
        <f t="shared" ref="Z10:Z73" si="3">T10</f>
        <v>0</v>
      </c>
      <c r="AA10" s="25">
        <f t="shared" ref="AA10:AA72" si="4">AB10-(AB10/26*6)</f>
        <v>2076923.076923077</v>
      </c>
      <c r="AB10" s="13">
        <f>'Danh muc'!S10</f>
        <v>2700000</v>
      </c>
      <c r="AC10" s="22">
        <f>IF(' Bảng nhập công'!E10&gt;'Bảng tính toán'!$Q$5,(' Bảng nhập công'!E10-'Bảng tính toán'!$Q$5),0)+' Bảng nhập công'!G10</f>
        <v>0</v>
      </c>
      <c r="AD10" s="229">
        <f>AC10*'Danh muc'!P10</f>
        <v>0</v>
      </c>
      <c r="AE10" s="23"/>
      <c r="AF10" s="22">
        <f>' Bảng nhập công'!$K10</f>
        <v>0</v>
      </c>
      <c r="AG10" s="229">
        <f>$AF10*'Danh muc'!$V10</f>
        <v>0</v>
      </c>
      <c r="AH10" s="23"/>
      <c r="AI10" s="23">
        <f>' Bảng nhập công'!$L10</f>
        <v>0</v>
      </c>
      <c r="AJ10" s="25">
        <f>$AI10*'Danh muc'!$U10</f>
        <v>0</v>
      </c>
      <c r="AK10" s="13"/>
      <c r="AL10" s="23">
        <f>' Bảng nhập công'!$M10</f>
        <v>0</v>
      </c>
      <c r="AM10" s="229">
        <f>$AL10*'Danh muc'!$T10</f>
        <v>0</v>
      </c>
      <c r="AN10" s="23"/>
      <c r="AO10" s="24">
        <f>' Bảng nhập công'!$DC10</f>
        <v>0</v>
      </c>
      <c r="AP10" s="230">
        <f>$AO10*'Danh muc'!$O10*8</f>
        <v>0</v>
      </c>
      <c r="AQ10" s="445"/>
      <c r="AR10" s="13">
        <f>' Bảng nhập công'!$DD10</f>
        <v>1</v>
      </c>
      <c r="AS10" s="25">
        <f>$AR10*'Danh muc'!$O10*8</f>
        <v>333333.33333333331</v>
      </c>
      <c r="AT10" s="13"/>
      <c r="AU10" s="13"/>
      <c r="AV10" s="13"/>
      <c r="AW10" s="25">
        <f t="shared" si="0"/>
        <v>0</v>
      </c>
      <c r="AX10" s="13"/>
      <c r="AY10" s="13"/>
      <c r="AZ10" s="25"/>
      <c r="BA10" s="25">
        <f t="shared" si="1"/>
        <v>0</v>
      </c>
      <c r="BB10" s="13"/>
      <c r="BC10" s="25"/>
      <c r="BD10" s="13"/>
      <c r="BE10" s="295"/>
      <c r="BF10" s="446"/>
      <c r="BG10" s="295"/>
      <c r="BH10" s="446"/>
      <c r="BI10" s="295"/>
      <c r="BJ10" s="446"/>
      <c r="BK10" s="295"/>
      <c r="BL10" s="448"/>
      <c r="BM10" s="295"/>
      <c r="BN10" s="446"/>
      <c r="BO10" s="317">
        <f t="shared" ref="BO10:BO72" si="5">F10+I10+L10+O10+R10+U10+AA10+AD10+AG10+AJ10+AM10+AP10+AS10+AW10+BA10+BC10+BE10+BG10+BI10+BK10+BM10</f>
        <v>2910256.4102564105</v>
      </c>
      <c r="BP10" s="449">
        <f>'Danh muc'!$X10</f>
        <v>892500</v>
      </c>
      <c r="BQ10" s="322"/>
      <c r="BR10" s="449"/>
      <c r="BS10" s="322"/>
      <c r="BT10" s="449">
        <f>'Danh muc'!N10*0.5%</f>
        <v>42500</v>
      </c>
      <c r="BU10" s="322"/>
      <c r="BV10" s="319">
        <f>' Bảng nhập công'!DE10</f>
        <v>0</v>
      </c>
      <c r="BW10" s="27"/>
      <c r="BX10" s="320">
        <f>' Bảng nhập công'!DF10</f>
        <v>0</v>
      </c>
      <c r="BY10" s="27"/>
      <c r="BZ10" s="320"/>
      <c r="CA10" s="27"/>
      <c r="CB10" s="320"/>
      <c r="CC10" s="27"/>
      <c r="CD10" s="450"/>
      <c r="CE10" s="27"/>
      <c r="CF10" s="321">
        <f t="shared" ref="CF10:CF72" si="6">FLOOR((BO10-BP10-BR10-BT10-CD10),1000)</f>
        <v>1975000</v>
      </c>
      <c r="CG10" s="11" t="s">
        <v>131</v>
      </c>
      <c r="CH10" s="27">
        <f>'Danh muc'!$W10</f>
        <v>1827500</v>
      </c>
      <c r="CI10" s="280"/>
    </row>
    <row r="11" spans="1:87" s="1" customFormat="1" ht="19.5" customHeight="1">
      <c r="A11" s="12">
        <f>'Danh muc'!A11</f>
        <v>4</v>
      </c>
      <c r="B11" s="6">
        <f>'Danh muc'!B11</f>
        <v>19010300</v>
      </c>
      <c r="C11" s="11" t="str">
        <f>'Danh muc'!C11</f>
        <v>Phan Thành Triệu</v>
      </c>
      <c r="D11" s="12" t="str">
        <f>'Danh muc'!E11</f>
        <v>Kỹ thuật</v>
      </c>
      <c r="E11" s="13">
        <f>' Bảng nhập công'!$H11</f>
        <v>0</v>
      </c>
      <c r="F11" s="13">
        <f>$E11*'Danh muc'!$H11</f>
        <v>0</v>
      </c>
      <c r="G11" s="13">
        <f>'Danh muc'!J11</f>
        <v>0</v>
      </c>
      <c r="H11" s="13">
        <f>' Bảng nhập công'!$L11</f>
        <v>0</v>
      </c>
      <c r="I11" s="13">
        <f>$H11*'Danh muc'!$I11</f>
        <v>0</v>
      </c>
      <c r="J11" s="13"/>
      <c r="K11" s="13">
        <f>' Bảng nhập công'!J11</f>
        <v>0</v>
      </c>
      <c r="L11" s="13">
        <f>'Danh muc'!L11*'Bảng tính toán'!K11</f>
        <v>0</v>
      </c>
      <c r="M11" s="13"/>
      <c r="N11" s="13"/>
      <c r="O11" s="13">
        <f>'Danh muc'!$M11/26*' Bảng nhập công'!H11</f>
        <v>0</v>
      </c>
      <c r="P11" s="13"/>
      <c r="Q11" s="316">
        <f>IF((' Bảng nhập công'!$E11+' Bảng nhập công'!$F11)&gt;='Bảng tính toán'!$Q$5,'Bảng tính toán'!$Q$5,(' Bảng nhập công'!$E11+' Bảng nhập công'!$F11))</f>
        <v>0</v>
      </c>
      <c r="R11" s="25">
        <f>$Q11*'Danh muc'!$O11</f>
        <v>0</v>
      </c>
      <c r="S11" s="25">
        <f>'Danh muc'!N11</f>
        <v>8500000</v>
      </c>
      <c r="T11" s="22">
        <f>' Bảng nhập công'!DE11+' Bảng nhập công'!DF11</f>
        <v>0</v>
      </c>
      <c r="U11" s="25">
        <f>IF(OR(' Bảng nhập công'!DE11&gt;=3,' Bảng nhập công'!DF11&gt;=2),0,IF(OR(' Bảng nhập công'!DE11=2,' Bảng nhập công'!DF11=1),('Danh muc'!Q11/2),'Danh muc'!Q11))</f>
        <v>500000</v>
      </c>
      <c r="V11" s="22"/>
      <c r="W11" s="22">
        <f t="shared" si="2"/>
        <v>0</v>
      </c>
      <c r="X11" s="316"/>
      <c r="Y11" s="22"/>
      <c r="Z11" s="22">
        <f t="shared" si="3"/>
        <v>0</v>
      </c>
      <c r="AA11" s="25">
        <f t="shared" si="4"/>
        <v>2384615.3846153845</v>
      </c>
      <c r="AB11" s="13">
        <f>'Danh muc'!S11</f>
        <v>3100000</v>
      </c>
      <c r="AC11" s="22">
        <f>IF(' Bảng nhập công'!E11&gt;'Bảng tính toán'!$Q$5,(' Bảng nhập công'!E11-'Bảng tính toán'!$Q$5),0)+' Bảng nhập công'!G11</f>
        <v>0</v>
      </c>
      <c r="AD11" s="229">
        <f>AC11*'Danh muc'!P11</f>
        <v>0</v>
      </c>
      <c r="AE11" s="23"/>
      <c r="AF11" s="22">
        <f>' Bảng nhập công'!$K11</f>
        <v>0</v>
      </c>
      <c r="AG11" s="229">
        <f>$AF11*'Danh muc'!$V11</f>
        <v>0</v>
      </c>
      <c r="AH11" s="23"/>
      <c r="AI11" s="23">
        <f>' Bảng nhập công'!$L11</f>
        <v>0</v>
      </c>
      <c r="AJ11" s="25">
        <f>$AI11*'Danh muc'!$U11</f>
        <v>0</v>
      </c>
      <c r="AK11" s="13"/>
      <c r="AL11" s="23">
        <f>' Bảng nhập công'!$M11</f>
        <v>0</v>
      </c>
      <c r="AM11" s="229">
        <f>$AL11*'Danh muc'!$T11</f>
        <v>0</v>
      </c>
      <c r="AN11" s="23"/>
      <c r="AO11" s="24">
        <f>' Bảng nhập công'!$DC11</f>
        <v>0</v>
      </c>
      <c r="AP11" s="230">
        <f>$AO11*'Danh muc'!$O11*8</f>
        <v>0</v>
      </c>
      <c r="AQ11" s="445"/>
      <c r="AR11" s="13">
        <f>' Bảng nhập công'!$DD11</f>
        <v>1</v>
      </c>
      <c r="AS11" s="25">
        <f>$AR11*'Danh muc'!$O11*8</f>
        <v>333333.33333333331</v>
      </c>
      <c r="AT11" s="13"/>
      <c r="AU11" s="13"/>
      <c r="AV11" s="13"/>
      <c r="AW11" s="25">
        <f t="shared" si="0"/>
        <v>0</v>
      </c>
      <c r="AX11" s="13"/>
      <c r="AY11" s="13"/>
      <c r="AZ11" s="25"/>
      <c r="BA11" s="25">
        <f t="shared" si="1"/>
        <v>0</v>
      </c>
      <c r="BB11" s="13"/>
      <c r="BC11" s="25"/>
      <c r="BD11" s="13"/>
      <c r="BE11" s="295"/>
      <c r="BF11" s="446"/>
      <c r="BG11" s="295"/>
      <c r="BH11" s="446"/>
      <c r="BI11" s="295"/>
      <c r="BJ11" s="446"/>
      <c r="BK11" s="295"/>
      <c r="BL11" s="448"/>
      <c r="BM11" s="295"/>
      <c r="BN11" s="446"/>
      <c r="BO11" s="317">
        <f t="shared" si="5"/>
        <v>3217948.717948718</v>
      </c>
      <c r="BP11" s="449">
        <f>'Danh muc'!$X11</f>
        <v>892500</v>
      </c>
      <c r="BQ11" s="322"/>
      <c r="BR11" s="449"/>
      <c r="BS11" s="322"/>
      <c r="BT11" s="449">
        <f>'Danh muc'!N11*0.5%</f>
        <v>42500</v>
      </c>
      <c r="BU11" s="322"/>
      <c r="BV11" s="319">
        <f>' Bảng nhập công'!DE11</f>
        <v>0</v>
      </c>
      <c r="BW11" s="27"/>
      <c r="BX11" s="320">
        <f>' Bảng nhập công'!DF11</f>
        <v>0</v>
      </c>
      <c r="BY11" s="27"/>
      <c r="BZ11" s="320"/>
      <c r="CA11" s="27"/>
      <c r="CB11" s="320"/>
      <c r="CC11" s="27"/>
      <c r="CD11" s="450"/>
      <c r="CE11" s="27"/>
      <c r="CF11" s="321">
        <f t="shared" si="6"/>
        <v>2282000</v>
      </c>
      <c r="CG11" s="11" t="s">
        <v>131</v>
      </c>
      <c r="CH11" s="27">
        <f>'Danh muc'!$W11</f>
        <v>1827500</v>
      </c>
      <c r="CI11" s="280"/>
    </row>
    <row r="12" spans="1:87" s="1" customFormat="1" ht="19.5" customHeight="1">
      <c r="A12" s="12">
        <f>'Danh muc'!A12</f>
        <v>5</v>
      </c>
      <c r="B12" s="6">
        <f>'Danh muc'!B12</f>
        <v>18010900</v>
      </c>
      <c r="C12" s="11" t="str">
        <f>'Danh muc'!C12</f>
        <v>Lê Đức Trọng</v>
      </c>
      <c r="D12" s="12" t="str">
        <f>'Danh muc'!E12</f>
        <v>Khuôn</v>
      </c>
      <c r="E12" s="13">
        <f>' Bảng nhập công'!$H12</f>
        <v>0</v>
      </c>
      <c r="F12" s="13">
        <f>$E12*'Danh muc'!$H12</f>
        <v>0</v>
      </c>
      <c r="G12" s="13">
        <f>'Danh muc'!J12</f>
        <v>0</v>
      </c>
      <c r="H12" s="13">
        <f>' Bảng nhập công'!$L12</f>
        <v>0</v>
      </c>
      <c r="I12" s="13">
        <f>$H12*'Danh muc'!$I12</f>
        <v>0</v>
      </c>
      <c r="J12" s="13"/>
      <c r="K12" s="13">
        <f>' Bảng nhập công'!J12</f>
        <v>0</v>
      </c>
      <c r="L12" s="13">
        <f>'Danh muc'!L12*'Bảng tính toán'!K12</f>
        <v>0</v>
      </c>
      <c r="M12" s="13"/>
      <c r="N12" s="13"/>
      <c r="O12" s="13">
        <f>'Danh muc'!$M12/26*' Bảng nhập công'!H12</f>
        <v>0</v>
      </c>
      <c r="P12" s="13"/>
      <c r="Q12" s="316">
        <f>IF((' Bảng nhập công'!$E12+' Bảng nhập công'!$F12)&gt;='Bảng tính toán'!$Q$5,'Bảng tính toán'!$Q$5,(' Bảng nhập công'!$E12+' Bảng nhập công'!$F12))</f>
        <v>0</v>
      </c>
      <c r="R12" s="25">
        <f>$Q12*'Danh muc'!$O12</f>
        <v>0</v>
      </c>
      <c r="S12" s="25">
        <f>'Danh muc'!N12</f>
        <v>10000000</v>
      </c>
      <c r="T12" s="22">
        <f>' Bảng nhập công'!DE12+' Bảng nhập công'!DF12</f>
        <v>0</v>
      </c>
      <c r="U12" s="25">
        <f>IF(OR(' Bảng nhập công'!DE12&gt;=3,' Bảng nhập công'!DF12&gt;=2),0,IF(OR(' Bảng nhập công'!DE12=2,' Bảng nhập công'!DF12=1),('Danh muc'!Q12/2),'Danh muc'!Q12))</f>
        <v>500000</v>
      </c>
      <c r="V12" s="22"/>
      <c r="W12" s="22">
        <f t="shared" si="2"/>
        <v>0</v>
      </c>
      <c r="X12" s="316"/>
      <c r="Y12" s="22"/>
      <c r="Z12" s="22">
        <f t="shared" si="3"/>
        <v>0</v>
      </c>
      <c r="AA12" s="25">
        <f t="shared" si="4"/>
        <v>3538461.5384615385</v>
      </c>
      <c r="AB12" s="13">
        <f>'Danh muc'!S12</f>
        <v>4600000</v>
      </c>
      <c r="AC12" s="22">
        <f>IF(' Bảng nhập công'!E12&gt;'Bảng tính toán'!$Q$5,(' Bảng nhập công'!E12-'Bảng tính toán'!$Q$5),0)+' Bảng nhập công'!G12</f>
        <v>0</v>
      </c>
      <c r="AD12" s="229">
        <f>AC12*'Danh muc'!P12</f>
        <v>0</v>
      </c>
      <c r="AE12" s="23"/>
      <c r="AF12" s="22">
        <f>' Bảng nhập công'!$K12</f>
        <v>0</v>
      </c>
      <c r="AG12" s="229">
        <f>$AF12*'Danh muc'!$V12</f>
        <v>0</v>
      </c>
      <c r="AH12" s="23"/>
      <c r="AI12" s="23">
        <f>' Bảng nhập công'!$L12</f>
        <v>0</v>
      </c>
      <c r="AJ12" s="25">
        <f>$AI12*'Danh muc'!$U12</f>
        <v>0</v>
      </c>
      <c r="AK12" s="13"/>
      <c r="AL12" s="23">
        <f>' Bảng nhập công'!$M12</f>
        <v>0</v>
      </c>
      <c r="AM12" s="229">
        <f>$AL12*'Danh muc'!$T12</f>
        <v>0</v>
      </c>
      <c r="AN12" s="23"/>
      <c r="AO12" s="24">
        <f>' Bảng nhập công'!$DC12</f>
        <v>0</v>
      </c>
      <c r="AP12" s="230">
        <f>$AO12*'Danh muc'!$O12*8</f>
        <v>0</v>
      </c>
      <c r="AQ12" s="445"/>
      <c r="AR12" s="13">
        <f>' Bảng nhập công'!$DD12</f>
        <v>1</v>
      </c>
      <c r="AS12" s="25">
        <f>$AR12*'Danh muc'!$O12*8</f>
        <v>392156.86274509801</v>
      </c>
      <c r="AT12" s="13"/>
      <c r="AU12" s="13"/>
      <c r="AV12" s="13"/>
      <c r="AW12" s="25">
        <f t="shared" si="0"/>
        <v>0</v>
      </c>
      <c r="AX12" s="13"/>
      <c r="AY12" s="13"/>
      <c r="AZ12" s="25"/>
      <c r="BA12" s="25">
        <f t="shared" si="1"/>
        <v>0</v>
      </c>
      <c r="BB12" s="13"/>
      <c r="BC12" s="25"/>
      <c r="BD12" s="13"/>
      <c r="BE12" s="295"/>
      <c r="BF12" s="446"/>
      <c r="BG12" s="295"/>
      <c r="BH12" s="446"/>
      <c r="BI12" s="295"/>
      <c r="BJ12" s="446"/>
      <c r="BK12" s="295"/>
      <c r="BL12" s="448"/>
      <c r="BM12" s="295"/>
      <c r="BN12" s="446"/>
      <c r="BO12" s="317">
        <f t="shared" si="5"/>
        <v>4430618.4012066368</v>
      </c>
      <c r="BP12" s="449">
        <f>'Danh muc'!$X12</f>
        <v>1050000</v>
      </c>
      <c r="BQ12" s="322"/>
      <c r="BR12" s="449"/>
      <c r="BS12" s="322"/>
      <c r="BT12" s="449">
        <f>'Danh muc'!N12*0.5%</f>
        <v>50000</v>
      </c>
      <c r="BU12" s="322"/>
      <c r="BV12" s="319">
        <f>' Bảng nhập công'!DE12</f>
        <v>0</v>
      </c>
      <c r="BW12" s="27"/>
      <c r="BX12" s="320">
        <f>' Bảng nhập công'!DF12</f>
        <v>0</v>
      </c>
      <c r="BY12" s="27"/>
      <c r="BZ12" s="320"/>
      <c r="CA12" s="27"/>
      <c r="CB12" s="320"/>
      <c r="CC12" s="27"/>
      <c r="CD12" s="450"/>
      <c r="CE12" s="27"/>
      <c r="CF12" s="321">
        <f t="shared" si="6"/>
        <v>3330000</v>
      </c>
      <c r="CG12" s="11" t="s">
        <v>131</v>
      </c>
      <c r="CH12" s="27">
        <f>'Danh muc'!$W12</f>
        <v>2150000</v>
      </c>
      <c r="CI12" s="280"/>
    </row>
    <row r="13" spans="1:87" s="1" customFormat="1" ht="19.5" customHeight="1">
      <c r="A13" s="12">
        <f>'Danh muc'!A13</f>
        <v>6</v>
      </c>
      <c r="B13" s="6">
        <f>'Danh muc'!B13</f>
        <v>19010400</v>
      </c>
      <c r="C13" s="11" t="str">
        <f>'Danh muc'!C13</f>
        <v>Võ Duy Thanh</v>
      </c>
      <c r="D13" s="12" t="str">
        <f>'Danh muc'!E13</f>
        <v>QA</v>
      </c>
      <c r="E13" s="13">
        <f>' Bảng nhập công'!$H13</f>
        <v>0</v>
      </c>
      <c r="F13" s="13">
        <f>$E13*'Danh muc'!$H13</f>
        <v>0</v>
      </c>
      <c r="G13" s="13">
        <f>'Danh muc'!J13</f>
        <v>0</v>
      </c>
      <c r="H13" s="13">
        <f>' Bảng nhập công'!$L13</f>
        <v>0</v>
      </c>
      <c r="I13" s="13">
        <f>$H13*'Danh muc'!$I13</f>
        <v>0</v>
      </c>
      <c r="J13" s="13"/>
      <c r="K13" s="13">
        <f>' Bảng nhập công'!J13</f>
        <v>0</v>
      </c>
      <c r="L13" s="13">
        <f>'Danh muc'!L13*'Bảng tính toán'!K13</f>
        <v>0</v>
      </c>
      <c r="M13" s="13"/>
      <c r="N13" s="13"/>
      <c r="O13" s="13">
        <f>'Danh muc'!$M13/26*' Bảng nhập công'!H13</f>
        <v>0</v>
      </c>
      <c r="P13" s="13"/>
      <c r="Q13" s="316">
        <f>IF((' Bảng nhập công'!$E13+' Bảng nhập công'!$F13)&gt;='Bảng tính toán'!$Q$5,'Bảng tính toán'!$Q$5,(' Bảng nhập công'!$E13+' Bảng nhập công'!$F13))</f>
        <v>0</v>
      </c>
      <c r="R13" s="25">
        <f>$Q13*'Danh muc'!$O13</f>
        <v>0</v>
      </c>
      <c r="S13" s="25">
        <f>'Danh muc'!N13</f>
        <v>8500000</v>
      </c>
      <c r="T13" s="22">
        <f>' Bảng nhập công'!DE13+' Bảng nhập công'!DF13</f>
        <v>0</v>
      </c>
      <c r="U13" s="25">
        <f>IF(OR(' Bảng nhập công'!DE13&gt;=3,' Bảng nhập công'!DF13&gt;=2),0,IF(OR(' Bảng nhập công'!DE13=2,' Bảng nhập công'!DF13=1),('Danh muc'!Q13/2),'Danh muc'!Q13))</f>
        <v>500000</v>
      </c>
      <c r="V13" s="22"/>
      <c r="W13" s="22">
        <f t="shared" si="2"/>
        <v>0</v>
      </c>
      <c r="X13" s="316"/>
      <c r="Y13" s="22"/>
      <c r="Z13" s="22">
        <f t="shared" si="3"/>
        <v>0</v>
      </c>
      <c r="AA13" s="25">
        <f t="shared" si="4"/>
        <v>2384615.3846153845</v>
      </c>
      <c r="AB13" s="13">
        <f>'Danh muc'!S13</f>
        <v>3100000</v>
      </c>
      <c r="AC13" s="22">
        <f>IF(' Bảng nhập công'!E13&gt;'Bảng tính toán'!$Q$5,(' Bảng nhập công'!E13-'Bảng tính toán'!$Q$5),0)+' Bảng nhập công'!G13</f>
        <v>0</v>
      </c>
      <c r="AD13" s="229">
        <f>AC13*'Danh muc'!P13</f>
        <v>0</v>
      </c>
      <c r="AE13" s="23"/>
      <c r="AF13" s="22">
        <f>' Bảng nhập công'!$K13</f>
        <v>0</v>
      </c>
      <c r="AG13" s="229">
        <f>$AF13*'Danh muc'!$V13</f>
        <v>0</v>
      </c>
      <c r="AH13" s="23"/>
      <c r="AI13" s="23">
        <f>' Bảng nhập công'!$L13</f>
        <v>0</v>
      </c>
      <c r="AJ13" s="25">
        <f>$AI13*'Danh muc'!$U13</f>
        <v>0</v>
      </c>
      <c r="AK13" s="13"/>
      <c r="AL13" s="23">
        <f>' Bảng nhập công'!$M13</f>
        <v>0</v>
      </c>
      <c r="AM13" s="229">
        <f>$AL13*'Danh muc'!$T13</f>
        <v>0</v>
      </c>
      <c r="AN13" s="23"/>
      <c r="AO13" s="24">
        <f>' Bảng nhập công'!$DC13</f>
        <v>0</v>
      </c>
      <c r="AP13" s="230">
        <f>$AO13*'Danh muc'!$O13*8</f>
        <v>0</v>
      </c>
      <c r="AQ13" s="445"/>
      <c r="AR13" s="13">
        <f>' Bảng nhập công'!$DD13</f>
        <v>1</v>
      </c>
      <c r="AS13" s="25">
        <f>$AR13*'Danh muc'!$O13*8</f>
        <v>333333.33333333331</v>
      </c>
      <c r="AT13" s="13"/>
      <c r="AU13" s="13"/>
      <c r="AV13" s="13"/>
      <c r="AW13" s="25">
        <f t="shared" si="0"/>
        <v>0</v>
      </c>
      <c r="AX13" s="13"/>
      <c r="AY13" s="13"/>
      <c r="AZ13" s="25"/>
      <c r="BA13" s="25">
        <f t="shared" si="1"/>
        <v>0</v>
      </c>
      <c r="BB13" s="13"/>
      <c r="BC13" s="25"/>
      <c r="BD13" s="13"/>
      <c r="BE13" s="295"/>
      <c r="BF13" s="446"/>
      <c r="BG13" s="295"/>
      <c r="BH13" s="446"/>
      <c r="BI13" s="295"/>
      <c r="BJ13" s="446"/>
      <c r="BK13" s="295"/>
      <c r="BL13" s="448"/>
      <c r="BM13" s="295"/>
      <c r="BN13" s="446"/>
      <c r="BO13" s="317">
        <f t="shared" si="5"/>
        <v>3217948.717948718</v>
      </c>
      <c r="BP13" s="449">
        <f>'Danh muc'!$X13</f>
        <v>892500</v>
      </c>
      <c r="BQ13" s="322"/>
      <c r="BR13" s="449"/>
      <c r="BS13" s="322"/>
      <c r="BT13" s="449">
        <f>'Danh muc'!N13*0.5%</f>
        <v>42500</v>
      </c>
      <c r="BU13" s="322"/>
      <c r="BV13" s="319">
        <f>' Bảng nhập công'!DE13</f>
        <v>0</v>
      </c>
      <c r="BW13" s="27"/>
      <c r="BX13" s="320">
        <f>' Bảng nhập công'!DF13</f>
        <v>0</v>
      </c>
      <c r="BY13" s="27"/>
      <c r="BZ13" s="320"/>
      <c r="CA13" s="27"/>
      <c r="CB13" s="320"/>
      <c r="CC13" s="27"/>
      <c r="CD13" s="450"/>
      <c r="CE13" s="27"/>
      <c r="CF13" s="321">
        <f t="shared" si="6"/>
        <v>2282000</v>
      </c>
      <c r="CG13" s="11" t="s">
        <v>131</v>
      </c>
      <c r="CH13" s="27">
        <f>'Danh muc'!$W13</f>
        <v>1827500</v>
      </c>
      <c r="CI13" s="280"/>
    </row>
    <row r="14" spans="1:87" s="1" customFormat="1" ht="19.5" customHeight="1">
      <c r="A14" s="12">
        <f>'Danh muc'!A14</f>
        <v>7</v>
      </c>
      <c r="B14" s="6">
        <f>'Danh muc'!B14</f>
        <v>17030500</v>
      </c>
      <c r="C14" s="11" t="str">
        <f>'Danh muc'!C14</f>
        <v>Lê Thành Trung</v>
      </c>
      <c r="D14" s="12" t="str">
        <f>'Danh muc'!E14</f>
        <v>Bảo trì</v>
      </c>
      <c r="E14" s="13">
        <f>' Bảng nhập công'!$H14</f>
        <v>0</v>
      </c>
      <c r="F14" s="13">
        <f>$E14*'Danh muc'!$H14</f>
        <v>0</v>
      </c>
      <c r="G14" s="13">
        <f>'Danh muc'!J14</f>
        <v>0</v>
      </c>
      <c r="H14" s="13">
        <f>' Bảng nhập công'!$L14</f>
        <v>0</v>
      </c>
      <c r="I14" s="13">
        <f>$H14*'Danh muc'!$I14</f>
        <v>0</v>
      </c>
      <c r="J14" s="13"/>
      <c r="K14" s="13">
        <f>' Bảng nhập công'!J14</f>
        <v>0</v>
      </c>
      <c r="L14" s="13">
        <f>'Danh muc'!L14*'Bảng tính toán'!K14</f>
        <v>0</v>
      </c>
      <c r="M14" s="13"/>
      <c r="N14" s="13"/>
      <c r="O14" s="13">
        <f>'Danh muc'!$M14/26*' Bảng nhập công'!H14</f>
        <v>0</v>
      </c>
      <c r="P14" s="13"/>
      <c r="Q14" s="316">
        <f>IF((' Bảng nhập công'!$E14+' Bảng nhập công'!$F14)&gt;='Bảng tính toán'!$Q$5,'Bảng tính toán'!$Q$5,(' Bảng nhập công'!$E14+' Bảng nhập công'!$F14))</f>
        <v>0</v>
      </c>
      <c r="R14" s="25">
        <f>$Q14*'Danh muc'!$O14</f>
        <v>0</v>
      </c>
      <c r="S14" s="25">
        <f>'Danh muc'!N14</f>
        <v>8000000</v>
      </c>
      <c r="T14" s="22">
        <f>' Bảng nhập công'!DE14+' Bảng nhập công'!DF14</f>
        <v>0</v>
      </c>
      <c r="U14" s="25">
        <f>IF(OR(' Bảng nhập công'!DE14&gt;=3,' Bảng nhập công'!DF14&gt;=2),0,IF(OR(' Bảng nhập công'!DE14=2,' Bảng nhập công'!DF14=1),('Danh muc'!Q14/2),'Danh muc'!Q14))</f>
        <v>500000</v>
      </c>
      <c r="V14" s="22"/>
      <c r="W14" s="22">
        <f t="shared" si="2"/>
        <v>0</v>
      </c>
      <c r="X14" s="316"/>
      <c r="Y14" s="22"/>
      <c r="Z14" s="22">
        <f t="shared" si="3"/>
        <v>0</v>
      </c>
      <c r="AA14" s="25">
        <f t="shared" si="4"/>
        <v>3538461.5384615385</v>
      </c>
      <c r="AB14" s="13">
        <f>'Danh muc'!S14</f>
        <v>4600000</v>
      </c>
      <c r="AC14" s="22">
        <f>IF(' Bảng nhập công'!E14&gt;'Bảng tính toán'!$Q$5,(' Bảng nhập công'!E14-'Bảng tính toán'!$Q$5),0)+' Bảng nhập công'!G14</f>
        <v>0</v>
      </c>
      <c r="AD14" s="229">
        <f>AC14*'Danh muc'!P14</f>
        <v>0</v>
      </c>
      <c r="AE14" s="23"/>
      <c r="AF14" s="22">
        <f>' Bảng nhập công'!$K14</f>
        <v>0</v>
      </c>
      <c r="AG14" s="229">
        <f>$AF14*'Danh muc'!$V14</f>
        <v>0</v>
      </c>
      <c r="AH14" s="23"/>
      <c r="AI14" s="23">
        <f>' Bảng nhập công'!$L14</f>
        <v>0</v>
      </c>
      <c r="AJ14" s="25">
        <f>$AI14*'Danh muc'!$U14</f>
        <v>0</v>
      </c>
      <c r="AK14" s="13"/>
      <c r="AL14" s="23">
        <f>' Bảng nhập công'!$M14</f>
        <v>0</v>
      </c>
      <c r="AM14" s="229">
        <f>$AL14*'Danh muc'!$T14</f>
        <v>0</v>
      </c>
      <c r="AN14" s="23"/>
      <c r="AO14" s="24">
        <f>' Bảng nhập công'!$DC14</f>
        <v>0</v>
      </c>
      <c r="AP14" s="230">
        <f>$AO14*'Danh muc'!$O14*8</f>
        <v>0</v>
      </c>
      <c r="AQ14" s="445"/>
      <c r="AR14" s="13">
        <f>' Bảng nhập công'!$DD14</f>
        <v>1</v>
      </c>
      <c r="AS14" s="25">
        <f>$AR14*'Danh muc'!$O14*8</f>
        <v>313725.49019607843</v>
      </c>
      <c r="AT14" s="13"/>
      <c r="AU14" s="13"/>
      <c r="AV14" s="13"/>
      <c r="AW14" s="25">
        <f t="shared" si="0"/>
        <v>0</v>
      </c>
      <c r="AX14" s="13"/>
      <c r="AY14" s="13"/>
      <c r="AZ14" s="25"/>
      <c r="BA14" s="25">
        <f t="shared" si="1"/>
        <v>0</v>
      </c>
      <c r="BB14" s="13"/>
      <c r="BC14" s="25"/>
      <c r="BD14" s="13"/>
      <c r="BE14" s="295"/>
      <c r="BF14" s="446"/>
      <c r="BG14" s="295"/>
      <c r="BH14" s="446"/>
      <c r="BI14" s="295"/>
      <c r="BJ14" s="446"/>
      <c r="BK14" s="295"/>
      <c r="BL14" s="448"/>
      <c r="BM14" s="295"/>
      <c r="BN14" s="446"/>
      <c r="BO14" s="317">
        <f t="shared" si="5"/>
        <v>4352187.028657617</v>
      </c>
      <c r="BP14" s="449">
        <f>'Danh muc'!$X14</f>
        <v>840000</v>
      </c>
      <c r="BQ14" s="322"/>
      <c r="BR14" s="449"/>
      <c r="BS14" s="322"/>
      <c r="BT14" s="449">
        <f>'Danh muc'!N14*0.5%</f>
        <v>40000</v>
      </c>
      <c r="BU14" s="322"/>
      <c r="BV14" s="319">
        <f>' Bảng nhập công'!DE14</f>
        <v>0</v>
      </c>
      <c r="BW14" s="27"/>
      <c r="BX14" s="320">
        <f>' Bảng nhập công'!DF14</f>
        <v>0</v>
      </c>
      <c r="BY14" s="27"/>
      <c r="BZ14" s="320"/>
      <c r="CA14" s="27"/>
      <c r="CB14" s="320"/>
      <c r="CC14" s="27"/>
      <c r="CD14" s="450"/>
      <c r="CE14" s="27"/>
      <c r="CF14" s="321">
        <f t="shared" si="6"/>
        <v>3472000</v>
      </c>
      <c r="CG14" s="11" t="s">
        <v>131</v>
      </c>
      <c r="CH14" s="27">
        <f>'Danh muc'!$W14</f>
        <v>1720000</v>
      </c>
      <c r="CI14" s="280"/>
    </row>
    <row r="15" spans="1:87" s="1" customFormat="1" ht="19.5" customHeight="1">
      <c r="A15" s="12">
        <f>'Danh muc'!A15</f>
        <v>8</v>
      </c>
      <c r="B15" s="6">
        <f>'Danh muc'!B15</f>
        <v>22042200</v>
      </c>
      <c r="C15" s="11" t="str">
        <f>'Danh muc'!C15</f>
        <v>Nguyễn Tấn Nghĩa</v>
      </c>
      <c r="D15" s="12" t="str">
        <f>'Danh muc'!E15</f>
        <v>Bảo trì</v>
      </c>
      <c r="E15" s="13">
        <f>' Bảng nhập công'!$H15</f>
        <v>0</v>
      </c>
      <c r="F15" s="13">
        <f>$E15*'Danh muc'!$H15</f>
        <v>0</v>
      </c>
      <c r="G15" s="13">
        <f>'Danh muc'!J15</f>
        <v>0</v>
      </c>
      <c r="H15" s="13">
        <f>' Bảng nhập công'!$L15</f>
        <v>0</v>
      </c>
      <c r="I15" s="13">
        <f>$H15*'Danh muc'!$I15</f>
        <v>0</v>
      </c>
      <c r="J15" s="13"/>
      <c r="K15" s="13">
        <f>' Bảng nhập công'!J15</f>
        <v>0</v>
      </c>
      <c r="L15" s="13">
        <f>'Danh muc'!L15*'Bảng tính toán'!K15</f>
        <v>0</v>
      </c>
      <c r="M15" s="13"/>
      <c r="N15" s="13"/>
      <c r="O15" s="13">
        <f>'Danh muc'!$M15/26*' Bảng nhập công'!H15</f>
        <v>0</v>
      </c>
      <c r="P15" s="13"/>
      <c r="Q15" s="316">
        <f>IF((' Bảng nhập công'!$E15+' Bảng nhập công'!$F15)&gt;='Bảng tính toán'!$Q$5,'Bảng tính toán'!$Q$5,(' Bảng nhập công'!$E15+' Bảng nhập công'!$F15))</f>
        <v>0</v>
      </c>
      <c r="R15" s="25">
        <f>$Q15*'Danh muc'!$O15</f>
        <v>0</v>
      </c>
      <c r="S15" s="25">
        <f>'Danh muc'!N15</f>
        <v>7000000</v>
      </c>
      <c r="T15" s="22">
        <f>' Bảng nhập công'!DE15+' Bảng nhập công'!DF15</f>
        <v>0</v>
      </c>
      <c r="U15" s="25">
        <f>IF(OR(' Bảng nhập công'!DE15&gt;=3,' Bảng nhập công'!DF15&gt;=2),0,IF(OR(' Bảng nhập công'!DE15=2,' Bảng nhập công'!DF15=1),('Danh muc'!Q15/2),'Danh muc'!Q15))</f>
        <v>500000</v>
      </c>
      <c r="V15" s="22"/>
      <c r="W15" s="22">
        <f t="shared" si="2"/>
        <v>0</v>
      </c>
      <c r="X15" s="316"/>
      <c r="Y15" s="22"/>
      <c r="Z15" s="22">
        <f t="shared" si="3"/>
        <v>0</v>
      </c>
      <c r="AA15" s="25">
        <f t="shared" si="4"/>
        <v>2692307.692307692</v>
      </c>
      <c r="AB15" s="13">
        <f>'Danh muc'!S15</f>
        <v>3500000</v>
      </c>
      <c r="AC15" s="22">
        <f>IF(' Bảng nhập công'!E15&gt;'Bảng tính toán'!$Q$5,(' Bảng nhập công'!E15-'Bảng tính toán'!$Q$5),0)+' Bảng nhập công'!G15</f>
        <v>0</v>
      </c>
      <c r="AD15" s="229">
        <f>AC15*'Danh muc'!P15</f>
        <v>0</v>
      </c>
      <c r="AE15" s="23"/>
      <c r="AF15" s="22">
        <f>' Bảng nhập công'!$K15</f>
        <v>0</v>
      </c>
      <c r="AG15" s="229">
        <f>$AF15*'Danh muc'!$V15</f>
        <v>0</v>
      </c>
      <c r="AH15" s="23"/>
      <c r="AI15" s="23">
        <f>' Bảng nhập công'!$L15</f>
        <v>0</v>
      </c>
      <c r="AJ15" s="25">
        <f>$AI15*'Danh muc'!$U15</f>
        <v>0</v>
      </c>
      <c r="AK15" s="13"/>
      <c r="AL15" s="23">
        <f>' Bảng nhập công'!$M15</f>
        <v>0</v>
      </c>
      <c r="AM15" s="229">
        <f>$AL15*'Danh muc'!$T15</f>
        <v>0</v>
      </c>
      <c r="AN15" s="23"/>
      <c r="AO15" s="24">
        <f>' Bảng nhập công'!$DC15</f>
        <v>0</v>
      </c>
      <c r="AP15" s="230">
        <f>$AO15*'Danh muc'!$O15*8</f>
        <v>0</v>
      </c>
      <c r="AQ15" s="445"/>
      <c r="AR15" s="13">
        <f>' Bảng nhập công'!$DD15</f>
        <v>1</v>
      </c>
      <c r="AS15" s="25">
        <f>$AR15*'Danh muc'!$O15*8</f>
        <v>274509.80392156861</v>
      </c>
      <c r="AT15" s="13"/>
      <c r="AU15" s="13"/>
      <c r="AV15" s="13"/>
      <c r="AW15" s="25">
        <f t="shared" si="0"/>
        <v>0</v>
      </c>
      <c r="AX15" s="13"/>
      <c r="AY15" s="13"/>
      <c r="AZ15" s="25"/>
      <c r="BA15" s="25">
        <f t="shared" si="1"/>
        <v>0</v>
      </c>
      <c r="BB15" s="13"/>
      <c r="BC15" s="25"/>
      <c r="BD15" s="13"/>
      <c r="BE15" s="295"/>
      <c r="BF15" s="446"/>
      <c r="BG15" s="295"/>
      <c r="BH15" s="446"/>
      <c r="BI15" s="295"/>
      <c r="BJ15" s="446"/>
      <c r="BK15" s="295"/>
      <c r="BL15" s="448"/>
      <c r="BM15" s="295"/>
      <c r="BN15" s="446"/>
      <c r="BO15" s="317">
        <f t="shared" si="5"/>
        <v>3466817.4962292607</v>
      </c>
      <c r="BP15" s="449">
        <f>'Danh muc'!$X15</f>
        <v>735000</v>
      </c>
      <c r="BQ15" s="322"/>
      <c r="BR15" s="449"/>
      <c r="BS15" s="322"/>
      <c r="BT15" s="449">
        <f>'Danh muc'!N15*0.5%</f>
        <v>35000</v>
      </c>
      <c r="BU15" s="322"/>
      <c r="BV15" s="319">
        <f>' Bảng nhập công'!DE15</f>
        <v>0</v>
      </c>
      <c r="BW15" s="27"/>
      <c r="BX15" s="320">
        <f>' Bảng nhập công'!DF15</f>
        <v>0</v>
      </c>
      <c r="BY15" s="27"/>
      <c r="BZ15" s="320"/>
      <c r="CA15" s="27"/>
      <c r="CB15" s="320"/>
      <c r="CC15" s="27"/>
      <c r="CD15" s="450"/>
      <c r="CE15" s="27"/>
      <c r="CF15" s="321">
        <f t="shared" si="6"/>
        <v>2696000</v>
      </c>
      <c r="CG15" s="11" t="s">
        <v>131</v>
      </c>
      <c r="CH15" s="27">
        <f>'Danh muc'!$W15</f>
        <v>1505000</v>
      </c>
      <c r="CI15" s="280"/>
    </row>
    <row r="16" spans="1:87" s="1" customFormat="1" ht="19.5" customHeight="1">
      <c r="A16" s="12">
        <f>'Danh muc'!A16</f>
        <v>9</v>
      </c>
      <c r="B16" s="6">
        <f>'Danh muc'!B16</f>
        <v>20102800</v>
      </c>
      <c r="C16" s="11" t="str">
        <f>'Danh muc'!C16</f>
        <v>Nguyễn Thùy Trang</v>
      </c>
      <c r="D16" s="12" t="str">
        <f>'Danh muc'!E16</f>
        <v>QC</v>
      </c>
      <c r="E16" s="13">
        <f>' Bảng nhập công'!$H16</f>
        <v>0</v>
      </c>
      <c r="F16" s="13">
        <f>$E16*'Danh muc'!$H16</f>
        <v>0</v>
      </c>
      <c r="G16" s="13">
        <f>'Danh muc'!J16</f>
        <v>0</v>
      </c>
      <c r="H16" s="13">
        <f>' Bảng nhập công'!$L16</f>
        <v>0</v>
      </c>
      <c r="I16" s="13">
        <f>$H16*'Danh muc'!$I16</f>
        <v>0</v>
      </c>
      <c r="J16" s="13"/>
      <c r="K16" s="13">
        <f>' Bảng nhập công'!J16</f>
        <v>0</v>
      </c>
      <c r="L16" s="13">
        <f>'Danh muc'!L16*'Bảng tính toán'!K16</f>
        <v>0</v>
      </c>
      <c r="M16" s="13"/>
      <c r="N16" s="13"/>
      <c r="O16" s="13">
        <f>'Danh muc'!$M16/26*' Bảng nhập công'!H16</f>
        <v>0</v>
      </c>
      <c r="P16" s="13"/>
      <c r="Q16" s="316">
        <f>IF((' Bảng nhập công'!$E16+' Bảng nhập công'!$F16)&gt;='Bảng tính toán'!$Q$5,'Bảng tính toán'!$Q$5,(' Bảng nhập công'!$E16+' Bảng nhập công'!$F16))</f>
        <v>0</v>
      </c>
      <c r="R16" s="25">
        <f>$Q16*'Danh muc'!$O16</f>
        <v>0</v>
      </c>
      <c r="S16" s="25">
        <f>'Danh muc'!N16</f>
        <v>9500000</v>
      </c>
      <c r="T16" s="22">
        <f>' Bảng nhập công'!DE16+' Bảng nhập công'!DF16</f>
        <v>0</v>
      </c>
      <c r="U16" s="25">
        <f>IF(OR(' Bảng nhập công'!DE16&gt;=3,' Bảng nhập công'!DF16&gt;=2),0,IF(OR(' Bảng nhập công'!DE16=2,' Bảng nhập công'!DF16=1),('Danh muc'!Q16/2),'Danh muc'!Q16))</f>
        <v>500000</v>
      </c>
      <c r="V16" s="22"/>
      <c r="W16" s="22">
        <f t="shared" si="2"/>
        <v>0</v>
      </c>
      <c r="X16" s="316"/>
      <c r="Y16" s="22"/>
      <c r="Z16" s="22">
        <f t="shared" si="3"/>
        <v>0</v>
      </c>
      <c r="AA16" s="25">
        <f t="shared" si="4"/>
        <v>1692307.6923076925</v>
      </c>
      <c r="AB16" s="13">
        <f>'Danh muc'!S16</f>
        <v>2200000</v>
      </c>
      <c r="AC16" s="22">
        <f>IF(' Bảng nhập công'!E16&gt;'Bảng tính toán'!$Q$5,(' Bảng nhập công'!E16-'Bảng tính toán'!$Q$5),0)+' Bảng nhập công'!G16</f>
        <v>0</v>
      </c>
      <c r="AD16" s="229">
        <f>AC16*'Danh muc'!P16</f>
        <v>0</v>
      </c>
      <c r="AE16" s="23"/>
      <c r="AF16" s="22">
        <f>' Bảng nhập công'!$K16</f>
        <v>0</v>
      </c>
      <c r="AG16" s="229">
        <f>$AF16*'Danh muc'!$V16</f>
        <v>0</v>
      </c>
      <c r="AH16" s="23"/>
      <c r="AI16" s="23">
        <f>' Bảng nhập công'!$L16</f>
        <v>0</v>
      </c>
      <c r="AJ16" s="25">
        <f>$AI16*'Danh muc'!$U16</f>
        <v>0</v>
      </c>
      <c r="AK16" s="13"/>
      <c r="AL16" s="23">
        <f>' Bảng nhập công'!$M16</f>
        <v>0</v>
      </c>
      <c r="AM16" s="229">
        <f>$AL16*'Danh muc'!$T16</f>
        <v>0</v>
      </c>
      <c r="AN16" s="23"/>
      <c r="AO16" s="24">
        <f>' Bảng nhập công'!$DC16</f>
        <v>0</v>
      </c>
      <c r="AP16" s="230">
        <f>$AO16*'Danh muc'!$O16*8</f>
        <v>0</v>
      </c>
      <c r="AQ16" s="445"/>
      <c r="AR16" s="13">
        <f>' Bảng nhập công'!$DD16</f>
        <v>1</v>
      </c>
      <c r="AS16" s="25">
        <f>$AR16*'Danh muc'!$O16*8</f>
        <v>372549.01960784313</v>
      </c>
      <c r="AT16" s="13"/>
      <c r="AU16" s="13"/>
      <c r="AV16" s="13"/>
      <c r="AW16" s="25">
        <f t="shared" si="0"/>
        <v>0</v>
      </c>
      <c r="AX16" s="13"/>
      <c r="AY16" s="13"/>
      <c r="AZ16" s="25"/>
      <c r="BA16" s="25">
        <f t="shared" si="1"/>
        <v>0</v>
      </c>
      <c r="BB16" s="13"/>
      <c r="BC16" s="25"/>
      <c r="BD16" s="13"/>
      <c r="BE16" s="295"/>
      <c r="BF16" s="446"/>
      <c r="BG16" s="295"/>
      <c r="BH16" s="446"/>
      <c r="BI16" s="295"/>
      <c r="BJ16" s="446"/>
      <c r="BK16" s="295"/>
      <c r="BL16" s="448"/>
      <c r="BM16" s="295"/>
      <c r="BN16" s="446"/>
      <c r="BO16" s="317">
        <f t="shared" si="5"/>
        <v>2564856.7119155359</v>
      </c>
      <c r="BP16" s="449">
        <f>'Danh muc'!$X16</f>
        <v>997500</v>
      </c>
      <c r="BQ16" s="322"/>
      <c r="BR16" s="449"/>
      <c r="BS16" s="322"/>
      <c r="BT16" s="449">
        <f>'Danh muc'!N16*0.5%</f>
        <v>47500</v>
      </c>
      <c r="BU16" s="322"/>
      <c r="BV16" s="319">
        <f>' Bảng nhập công'!DE16</f>
        <v>0</v>
      </c>
      <c r="BW16" s="27"/>
      <c r="BX16" s="320">
        <f>' Bảng nhập công'!DF16</f>
        <v>0</v>
      </c>
      <c r="BY16" s="27"/>
      <c r="BZ16" s="320"/>
      <c r="CA16" s="27"/>
      <c r="CB16" s="320"/>
      <c r="CC16" s="27"/>
      <c r="CD16" s="450"/>
      <c r="CE16" s="27"/>
      <c r="CF16" s="321">
        <f t="shared" si="6"/>
        <v>1519000</v>
      </c>
      <c r="CG16" s="11" t="s">
        <v>131</v>
      </c>
      <c r="CH16" s="27">
        <f>'Danh muc'!$W16</f>
        <v>2042500</v>
      </c>
      <c r="CI16" s="280"/>
    </row>
    <row r="17" spans="1:87" s="1" customFormat="1" ht="19.5" customHeight="1">
      <c r="A17" s="12">
        <f>'Danh muc'!A17</f>
        <v>10</v>
      </c>
      <c r="B17" s="6">
        <f>'Danh muc'!B17</f>
        <v>17031400</v>
      </c>
      <c r="C17" s="11" t="str">
        <f>'Danh muc'!C17</f>
        <v>Huỳnh Văn Thanh</v>
      </c>
      <c r="D17" s="12" t="str">
        <f>'Danh muc'!E17</f>
        <v>Văn phòng</v>
      </c>
      <c r="E17" s="13">
        <f>' Bảng nhập công'!$H17</f>
        <v>0</v>
      </c>
      <c r="F17" s="13">
        <f>$E17*'Danh muc'!$H17</f>
        <v>0</v>
      </c>
      <c r="G17" s="13">
        <f>'Danh muc'!J17</f>
        <v>0</v>
      </c>
      <c r="H17" s="13">
        <f>' Bảng nhập công'!$L17</f>
        <v>0</v>
      </c>
      <c r="I17" s="13">
        <f>$H17*'Danh muc'!$I17</f>
        <v>0</v>
      </c>
      <c r="J17" s="13"/>
      <c r="K17" s="13">
        <f>' Bảng nhập công'!J17</f>
        <v>0</v>
      </c>
      <c r="L17" s="13">
        <f>'Danh muc'!L17*'Bảng tính toán'!K17</f>
        <v>0</v>
      </c>
      <c r="M17" s="13"/>
      <c r="N17" s="13"/>
      <c r="O17" s="13">
        <f>'Danh muc'!$M17/26*' Bảng nhập công'!H17</f>
        <v>0</v>
      </c>
      <c r="P17" s="13"/>
      <c r="Q17" s="316">
        <f>IF((' Bảng nhập công'!$E17+' Bảng nhập công'!$F17)&gt;='Bảng tính toán'!$Q$5,'Bảng tính toán'!$Q$5,(' Bảng nhập công'!$E17+' Bảng nhập công'!$F17))</f>
        <v>0</v>
      </c>
      <c r="R17" s="25">
        <f>$Q17*'Danh muc'!$O17</f>
        <v>0</v>
      </c>
      <c r="S17" s="25">
        <f>'Danh muc'!N17</f>
        <v>8500000</v>
      </c>
      <c r="T17" s="22">
        <f>' Bảng nhập công'!DE17+' Bảng nhập công'!DF17</f>
        <v>0</v>
      </c>
      <c r="U17" s="25">
        <f>IF(OR(' Bảng nhập công'!DE17&gt;=3,' Bảng nhập công'!DF17&gt;=2),0,IF(OR(' Bảng nhập công'!DE17=2,' Bảng nhập công'!DF17=1),('Danh muc'!Q17/2),'Danh muc'!Q17))</f>
        <v>500000</v>
      </c>
      <c r="V17" s="22"/>
      <c r="W17" s="22">
        <f t="shared" si="2"/>
        <v>0</v>
      </c>
      <c r="X17" s="316"/>
      <c r="Y17" s="22"/>
      <c r="Z17" s="22">
        <f t="shared" si="3"/>
        <v>0</v>
      </c>
      <c r="AA17" s="25">
        <f t="shared" si="4"/>
        <v>2153846.153846154</v>
      </c>
      <c r="AB17" s="13">
        <f>'Danh muc'!S17</f>
        <v>2800000</v>
      </c>
      <c r="AC17" s="22">
        <f>IF(' Bảng nhập công'!E17&gt;'Bảng tính toán'!$Q$5,(' Bảng nhập công'!E17-'Bảng tính toán'!$Q$5),0)+' Bảng nhập công'!G17</f>
        <v>0</v>
      </c>
      <c r="AD17" s="229">
        <f>AC17*'Danh muc'!P17</f>
        <v>0</v>
      </c>
      <c r="AE17" s="23"/>
      <c r="AF17" s="22">
        <f>' Bảng nhập công'!$K17</f>
        <v>0</v>
      </c>
      <c r="AG17" s="229">
        <f>$AF17*'Danh muc'!$V17</f>
        <v>0</v>
      </c>
      <c r="AH17" s="23"/>
      <c r="AI17" s="23">
        <f>' Bảng nhập công'!$L17</f>
        <v>0</v>
      </c>
      <c r="AJ17" s="25">
        <f>$AI17*'Danh muc'!$U17</f>
        <v>0</v>
      </c>
      <c r="AK17" s="13"/>
      <c r="AL17" s="23">
        <f>' Bảng nhập công'!$M17</f>
        <v>0</v>
      </c>
      <c r="AM17" s="229">
        <f>$AL17*'Danh muc'!$T17</f>
        <v>0</v>
      </c>
      <c r="AN17" s="23"/>
      <c r="AO17" s="24">
        <f>' Bảng nhập công'!$DC17</f>
        <v>0</v>
      </c>
      <c r="AP17" s="230">
        <f>$AO17*'Danh muc'!$O17*8</f>
        <v>0</v>
      </c>
      <c r="AQ17" s="445"/>
      <c r="AR17" s="13">
        <f>' Bảng nhập công'!$DD17</f>
        <v>1</v>
      </c>
      <c r="AS17" s="25">
        <f>$AR17*'Danh muc'!$O17*8</f>
        <v>333333.33333333331</v>
      </c>
      <c r="AT17" s="13"/>
      <c r="AU17" s="13"/>
      <c r="AV17" s="13"/>
      <c r="AW17" s="25">
        <f t="shared" si="0"/>
        <v>0</v>
      </c>
      <c r="AX17" s="13"/>
      <c r="AY17" s="13"/>
      <c r="AZ17" s="25"/>
      <c r="BA17" s="25">
        <f t="shared" si="1"/>
        <v>0</v>
      </c>
      <c r="BB17" s="13"/>
      <c r="BC17" s="25"/>
      <c r="BD17" s="13"/>
      <c r="BE17" s="295"/>
      <c r="BF17" s="446"/>
      <c r="BG17" s="295"/>
      <c r="BH17" s="446"/>
      <c r="BI17" s="295"/>
      <c r="BJ17" s="446"/>
      <c r="BK17" s="295"/>
      <c r="BL17" s="448"/>
      <c r="BM17" s="295"/>
      <c r="BN17" s="446"/>
      <c r="BO17" s="317">
        <f t="shared" si="5"/>
        <v>2987179.4871794875</v>
      </c>
      <c r="BP17" s="449">
        <f>'Danh muc'!$X17</f>
        <v>892500</v>
      </c>
      <c r="BQ17" s="322"/>
      <c r="BR17" s="449"/>
      <c r="BS17" s="322"/>
      <c r="BT17" s="449">
        <f>'Danh muc'!N17*0.5%</f>
        <v>42500</v>
      </c>
      <c r="BU17" s="322"/>
      <c r="BV17" s="319">
        <f>' Bảng nhập công'!DE17</f>
        <v>0</v>
      </c>
      <c r="BW17" s="27"/>
      <c r="BX17" s="320">
        <f>' Bảng nhập công'!DF17</f>
        <v>0</v>
      </c>
      <c r="BY17" s="27"/>
      <c r="BZ17" s="320"/>
      <c r="CA17" s="27"/>
      <c r="CB17" s="320"/>
      <c r="CC17" s="27"/>
      <c r="CD17" s="450"/>
      <c r="CE17" s="27"/>
      <c r="CF17" s="321">
        <f t="shared" si="6"/>
        <v>2052000</v>
      </c>
      <c r="CG17" s="11" t="s">
        <v>131</v>
      </c>
      <c r="CH17" s="27">
        <f>'Danh muc'!$W17</f>
        <v>1827500</v>
      </c>
      <c r="CI17" s="280"/>
    </row>
    <row r="18" spans="1:87" s="1" customFormat="1" ht="19.5" customHeight="1">
      <c r="A18" s="12">
        <f>'Danh muc'!A18</f>
        <v>11</v>
      </c>
      <c r="B18" s="6">
        <f>'Danh muc'!B18</f>
        <v>20050400</v>
      </c>
      <c r="C18" s="11" t="str">
        <f>'Danh muc'!C18</f>
        <v>Trần Phi Long</v>
      </c>
      <c r="D18" s="12" t="str">
        <f>'Danh muc'!E18</f>
        <v>Khuôn</v>
      </c>
      <c r="E18" s="13">
        <f>' Bảng nhập công'!$H18</f>
        <v>0</v>
      </c>
      <c r="F18" s="13">
        <f>$E18*'Danh muc'!$H18</f>
        <v>0</v>
      </c>
      <c r="G18" s="13">
        <f>'Danh muc'!J18</f>
        <v>0</v>
      </c>
      <c r="H18" s="13">
        <f>' Bảng nhập công'!$L18</f>
        <v>0</v>
      </c>
      <c r="I18" s="13">
        <f>$H18*'Danh muc'!$I18</f>
        <v>0</v>
      </c>
      <c r="J18" s="13"/>
      <c r="K18" s="13">
        <f>' Bảng nhập công'!J18</f>
        <v>0</v>
      </c>
      <c r="L18" s="13">
        <f>'Danh muc'!L18*'Bảng tính toán'!K18</f>
        <v>0</v>
      </c>
      <c r="M18" s="13"/>
      <c r="N18" s="13"/>
      <c r="O18" s="13">
        <f>'Danh muc'!$M18/26*' Bảng nhập công'!H18</f>
        <v>0</v>
      </c>
      <c r="P18" s="13"/>
      <c r="Q18" s="316">
        <f>IF((' Bảng nhập công'!$E18+' Bảng nhập công'!$F18)&gt;='Bảng tính toán'!$Q$4,'Bảng tính toán'!$Q$4,(' Bảng nhập công'!$E18+' Bảng nhập công'!$F18))</f>
        <v>0</v>
      </c>
      <c r="R18" s="25">
        <f>$Q18*'Danh muc'!$O18</f>
        <v>0</v>
      </c>
      <c r="S18" s="25">
        <f>'Danh muc'!N18</f>
        <v>7500000</v>
      </c>
      <c r="T18" s="22">
        <f>' Bảng nhập công'!DE18+' Bảng nhập công'!DF18</f>
        <v>0</v>
      </c>
      <c r="U18" s="25">
        <f>IF(OR(' Bảng nhập công'!DE18&gt;=3,' Bảng nhập công'!DF18&gt;=2),0,IF(OR(' Bảng nhập công'!DE18=2,' Bảng nhập công'!DF18=1),('Danh muc'!Q18/2),'Danh muc'!Q18))</f>
        <v>500000</v>
      </c>
      <c r="V18" s="22"/>
      <c r="W18" s="22">
        <f t="shared" si="2"/>
        <v>0</v>
      </c>
      <c r="X18" s="316"/>
      <c r="Y18" s="22"/>
      <c r="Z18" s="22">
        <f t="shared" si="3"/>
        <v>0</v>
      </c>
      <c r="AA18" s="25">
        <f t="shared" si="4"/>
        <v>846153.84615384624</v>
      </c>
      <c r="AB18" s="13">
        <f>'Danh muc'!S18</f>
        <v>1100000</v>
      </c>
      <c r="AC18" s="22">
        <f>IF(' Bảng nhập công'!E18&gt;'Bảng tính toán'!$Q$4,(' Bảng nhập công'!E18-'Bảng tính toán'!$Q$4),0)+' Bảng nhập công'!G18</f>
        <v>0</v>
      </c>
      <c r="AD18" s="229">
        <f>AC18*'Danh muc'!P18</f>
        <v>0</v>
      </c>
      <c r="AE18" s="23"/>
      <c r="AF18" s="22">
        <f>' Bảng nhập công'!$K18</f>
        <v>0</v>
      </c>
      <c r="AG18" s="229">
        <f>$AF18*'Danh muc'!$V18</f>
        <v>0</v>
      </c>
      <c r="AH18" s="23"/>
      <c r="AI18" s="23">
        <f>' Bảng nhập công'!$L18</f>
        <v>0</v>
      </c>
      <c r="AJ18" s="25">
        <f>$AI18*'Danh muc'!$U18</f>
        <v>0</v>
      </c>
      <c r="AK18" s="13"/>
      <c r="AL18" s="23">
        <f>' Bảng nhập công'!$M18</f>
        <v>0</v>
      </c>
      <c r="AM18" s="229">
        <f>$AL18*'Danh muc'!$T18</f>
        <v>0</v>
      </c>
      <c r="AN18" s="23"/>
      <c r="AO18" s="24">
        <f>' Bảng nhập công'!$DC18</f>
        <v>0</v>
      </c>
      <c r="AP18" s="230">
        <f>$AO18*'Danh muc'!$O18*8</f>
        <v>0</v>
      </c>
      <c r="AQ18" s="445"/>
      <c r="AR18" s="13">
        <f>' Bảng nhập công'!$DD18</f>
        <v>1</v>
      </c>
      <c r="AS18" s="25">
        <f>$AR18*'Danh muc'!$O18*8</f>
        <v>288461.53846153844</v>
      </c>
      <c r="AT18" s="13"/>
      <c r="AU18" s="13"/>
      <c r="AV18" s="13"/>
      <c r="AW18" s="25">
        <f t="shared" si="0"/>
        <v>0</v>
      </c>
      <c r="AX18" s="13"/>
      <c r="AY18" s="13"/>
      <c r="AZ18" s="25"/>
      <c r="BA18" s="25">
        <f t="shared" si="1"/>
        <v>0</v>
      </c>
      <c r="BB18" s="13"/>
      <c r="BC18" s="25"/>
      <c r="BD18" s="13"/>
      <c r="BE18" s="295"/>
      <c r="BF18" s="446"/>
      <c r="BG18" s="295"/>
      <c r="BH18" s="446"/>
      <c r="BI18" s="295"/>
      <c r="BJ18" s="446"/>
      <c r="BK18" s="295"/>
      <c r="BL18" s="448"/>
      <c r="BM18" s="295"/>
      <c r="BN18" s="446"/>
      <c r="BO18" s="317">
        <f t="shared" si="5"/>
        <v>1634615.3846153847</v>
      </c>
      <c r="BP18" s="449">
        <f>'Danh muc'!$X18</f>
        <v>787500</v>
      </c>
      <c r="BQ18" s="322"/>
      <c r="BR18" s="449"/>
      <c r="BS18" s="322"/>
      <c r="BT18" s="449">
        <f>'Danh muc'!N18*0.5%</f>
        <v>37500</v>
      </c>
      <c r="BU18" s="322"/>
      <c r="BV18" s="319">
        <f>' Bảng nhập công'!DE18</f>
        <v>0</v>
      </c>
      <c r="BW18" s="27"/>
      <c r="BX18" s="320">
        <f>' Bảng nhập công'!DF18</f>
        <v>0</v>
      </c>
      <c r="BY18" s="27"/>
      <c r="BZ18" s="320"/>
      <c r="CA18" s="27"/>
      <c r="CB18" s="320"/>
      <c r="CC18" s="27"/>
      <c r="CD18" s="450"/>
      <c r="CE18" s="27"/>
      <c r="CF18" s="321">
        <f t="shared" si="6"/>
        <v>809000</v>
      </c>
      <c r="CG18" s="11" t="s">
        <v>131</v>
      </c>
      <c r="CH18" s="27">
        <f>'Danh muc'!$W18</f>
        <v>1612500</v>
      </c>
      <c r="CI18" s="280"/>
    </row>
    <row r="19" spans="1:87" s="1" customFormat="1" ht="19.5" customHeight="1">
      <c r="A19" s="12">
        <f>'Danh muc'!A19</f>
        <v>12</v>
      </c>
      <c r="B19" s="6">
        <f>'Danh muc'!B19</f>
        <v>24050201</v>
      </c>
      <c r="C19" s="11" t="str">
        <f>'Danh muc'!C19</f>
        <v>Nguyễn Hữu Huynh</v>
      </c>
      <c r="D19" s="12" t="str">
        <f>'Danh muc'!E19</f>
        <v>Khuôn</v>
      </c>
      <c r="E19" s="13">
        <f>' Bảng nhập công'!$H19</f>
        <v>0</v>
      </c>
      <c r="F19" s="13">
        <f>$E19*'Danh muc'!$H19</f>
        <v>0</v>
      </c>
      <c r="G19" s="13">
        <f>'Danh muc'!J19</f>
        <v>0</v>
      </c>
      <c r="H19" s="13">
        <f>' Bảng nhập công'!$L19</f>
        <v>0</v>
      </c>
      <c r="I19" s="13">
        <f>$H19*'Danh muc'!$I19</f>
        <v>0</v>
      </c>
      <c r="J19" s="13"/>
      <c r="K19" s="13">
        <f>' Bảng nhập công'!J19</f>
        <v>0</v>
      </c>
      <c r="L19" s="13">
        <f>'Danh muc'!L19*'Bảng tính toán'!K19</f>
        <v>0</v>
      </c>
      <c r="M19" s="13"/>
      <c r="N19" s="13"/>
      <c r="O19" s="13">
        <f>'Danh muc'!$M19/26*' Bảng nhập công'!H19</f>
        <v>0</v>
      </c>
      <c r="P19" s="13"/>
      <c r="Q19" s="316">
        <f>IF((' Bảng nhập công'!$E19+' Bảng nhập công'!$F19)&gt;='Bảng tính toán'!$Q$4,'Bảng tính toán'!$Q$4,(' Bảng nhập công'!$E19+' Bảng nhập công'!$F19))</f>
        <v>0</v>
      </c>
      <c r="R19" s="25">
        <f>$Q19*'Danh muc'!$O19</f>
        <v>0</v>
      </c>
      <c r="S19" s="25">
        <f>'Danh muc'!N19</f>
        <v>6000000</v>
      </c>
      <c r="T19" s="22">
        <f>' Bảng nhập công'!DE19+' Bảng nhập công'!DF19</f>
        <v>0</v>
      </c>
      <c r="U19" s="25">
        <f>IF(OR(' Bảng nhập công'!DE19&gt;=3,' Bảng nhập công'!DF19&gt;=2),0,IF(OR(' Bảng nhập công'!DE19=2,' Bảng nhập công'!DF19=1),('Danh muc'!Q19/2),'Danh muc'!Q19))</f>
        <v>500000</v>
      </c>
      <c r="V19" s="22"/>
      <c r="W19" s="22">
        <f t="shared" si="2"/>
        <v>0</v>
      </c>
      <c r="X19" s="316"/>
      <c r="Y19" s="22"/>
      <c r="Z19" s="22">
        <f t="shared" si="3"/>
        <v>0</v>
      </c>
      <c r="AA19" s="25">
        <f t="shared" si="4"/>
        <v>1076923.076923077</v>
      </c>
      <c r="AB19" s="13">
        <f>'Danh muc'!S19</f>
        <v>1400000</v>
      </c>
      <c r="AC19" s="22">
        <f>IF(' Bảng nhập công'!E19&gt;'Bảng tính toán'!$Q$5,(' Bảng nhập công'!E19-'Bảng tính toán'!$Q$5),0)+' Bảng nhập công'!G19</f>
        <v>0</v>
      </c>
      <c r="AD19" s="229">
        <f>AC19*'Danh muc'!P19</f>
        <v>0</v>
      </c>
      <c r="AE19" s="23"/>
      <c r="AF19" s="22">
        <f>' Bảng nhập công'!$K19</f>
        <v>0</v>
      </c>
      <c r="AG19" s="229">
        <f>$AF19*'Danh muc'!$V19</f>
        <v>0</v>
      </c>
      <c r="AH19" s="23"/>
      <c r="AI19" s="23">
        <f>' Bảng nhập công'!$L19</f>
        <v>0</v>
      </c>
      <c r="AJ19" s="25">
        <f>$AI19*'Danh muc'!$U19</f>
        <v>0</v>
      </c>
      <c r="AK19" s="13"/>
      <c r="AL19" s="23">
        <f>' Bảng nhập công'!$M19</f>
        <v>0</v>
      </c>
      <c r="AM19" s="229">
        <f>$AL19*'Danh muc'!$T19</f>
        <v>0</v>
      </c>
      <c r="AN19" s="23"/>
      <c r="AO19" s="24">
        <f>' Bảng nhập công'!$DC19</f>
        <v>0</v>
      </c>
      <c r="AP19" s="230">
        <f>$AO19*'Danh muc'!$O19*8</f>
        <v>0</v>
      </c>
      <c r="AQ19" s="445"/>
      <c r="AR19" s="13">
        <f>' Bảng nhập công'!$DD19</f>
        <v>1</v>
      </c>
      <c r="AS19" s="25">
        <f>$AR19*'Danh muc'!$O19*8</f>
        <v>230769.23076923078</v>
      </c>
      <c r="AT19" s="13"/>
      <c r="AU19" s="13"/>
      <c r="AV19" s="13"/>
      <c r="AW19" s="25">
        <f t="shared" si="0"/>
        <v>0</v>
      </c>
      <c r="AX19" s="13"/>
      <c r="AY19" s="13"/>
      <c r="AZ19" s="25"/>
      <c r="BA19" s="25">
        <f t="shared" si="1"/>
        <v>0</v>
      </c>
      <c r="BB19" s="13"/>
      <c r="BC19" s="25"/>
      <c r="BD19" s="13"/>
      <c r="BE19" s="295"/>
      <c r="BF19" s="446"/>
      <c r="BG19" s="295"/>
      <c r="BH19" s="446"/>
      <c r="BI19" s="295"/>
      <c r="BJ19" s="446"/>
      <c r="BK19" s="295"/>
      <c r="BL19" s="448"/>
      <c r="BM19" s="295"/>
      <c r="BN19" s="446"/>
      <c r="BO19" s="317">
        <f t="shared" si="5"/>
        <v>1807692.3076923077</v>
      </c>
      <c r="BP19" s="449">
        <f>'Danh muc'!$X19</f>
        <v>630000</v>
      </c>
      <c r="BQ19" s="322"/>
      <c r="BR19" s="449"/>
      <c r="BS19" s="322"/>
      <c r="BT19" s="449">
        <f>'Danh muc'!N19*0.5%</f>
        <v>30000</v>
      </c>
      <c r="BU19" s="322"/>
      <c r="BV19" s="319">
        <f>' Bảng nhập công'!DE19</f>
        <v>0</v>
      </c>
      <c r="BW19" s="27"/>
      <c r="BX19" s="320">
        <f>' Bảng nhập công'!DF19</f>
        <v>0</v>
      </c>
      <c r="BY19" s="27"/>
      <c r="BZ19" s="320"/>
      <c r="CA19" s="27"/>
      <c r="CB19" s="320"/>
      <c r="CC19" s="27"/>
      <c r="CD19" s="450"/>
      <c r="CE19" s="27"/>
      <c r="CF19" s="321">
        <f t="shared" si="6"/>
        <v>1147000</v>
      </c>
      <c r="CG19" s="11" t="s">
        <v>131</v>
      </c>
      <c r="CH19" s="27">
        <f>'Danh muc'!$W19</f>
        <v>1290000</v>
      </c>
      <c r="CI19" s="280"/>
    </row>
    <row r="20" spans="1:87" s="1" customFormat="1" ht="19.5" customHeight="1">
      <c r="A20" s="12">
        <f>'Danh muc'!A20</f>
        <v>13</v>
      </c>
      <c r="B20" s="6">
        <f>'Danh muc'!B20</f>
        <v>16120600</v>
      </c>
      <c r="C20" s="11" t="str">
        <f>'Danh muc'!C20</f>
        <v>Nguyễn Văn Nhường</v>
      </c>
      <c r="D20" s="12" t="str">
        <f>'Danh muc'!E20</f>
        <v>Bảo trì</v>
      </c>
      <c r="E20" s="13">
        <f>' Bảng nhập công'!$H20</f>
        <v>0</v>
      </c>
      <c r="F20" s="13">
        <f>$E20*'Danh muc'!$H20</f>
        <v>0</v>
      </c>
      <c r="G20" s="13">
        <f>'Danh muc'!J20</f>
        <v>0</v>
      </c>
      <c r="H20" s="13">
        <f>' Bảng nhập công'!$L20</f>
        <v>0</v>
      </c>
      <c r="I20" s="13">
        <f>$H20*'Danh muc'!$I20</f>
        <v>0</v>
      </c>
      <c r="J20" s="13"/>
      <c r="K20" s="13">
        <f>' Bảng nhập công'!J20</f>
        <v>0</v>
      </c>
      <c r="L20" s="13">
        <f>'Danh muc'!L20*'Bảng tính toán'!K20</f>
        <v>0</v>
      </c>
      <c r="M20" s="13"/>
      <c r="N20" s="13"/>
      <c r="O20" s="13">
        <f>'Danh muc'!$M20/26*' Bảng nhập công'!H20</f>
        <v>0</v>
      </c>
      <c r="P20" s="13"/>
      <c r="Q20" s="316">
        <f>IF((' Bảng nhập công'!$E20+' Bảng nhập công'!$F20)&gt;='Bảng tính toán'!$Q$4,'Bảng tính toán'!$Q$4,(' Bảng nhập công'!$E20+' Bảng nhập công'!$F20))</f>
        <v>0</v>
      </c>
      <c r="R20" s="25">
        <f>$Q20*'Danh muc'!$O20</f>
        <v>0</v>
      </c>
      <c r="S20" s="25">
        <f>'Danh muc'!N20</f>
        <v>5700000</v>
      </c>
      <c r="T20" s="22">
        <f>' Bảng nhập công'!DE20+' Bảng nhập công'!DF20</f>
        <v>0</v>
      </c>
      <c r="U20" s="25">
        <f>IF(OR(' Bảng nhập công'!DE20&gt;=3,' Bảng nhập công'!DF20&gt;=2),0,IF(OR(' Bảng nhập công'!DE20=2,' Bảng nhập công'!DF20=1),('Danh muc'!Q20/2),'Danh muc'!Q20))</f>
        <v>500000</v>
      </c>
      <c r="V20" s="22"/>
      <c r="W20" s="22">
        <f t="shared" si="2"/>
        <v>0</v>
      </c>
      <c r="X20" s="316"/>
      <c r="Y20" s="22"/>
      <c r="Z20" s="22">
        <f t="shared" si="3"/>
        <v>0</v>
      </c>
      <c r="AA20" s="25">
        <f t="shared" si="4"/>
        <v>1307692.3076923077</v>
      </c>
      <c r="AB20" s="13">
        <f>'Danh muc'!S20</f>
        <v>1700000</v>
      </c>
      <c r="AC20" s="22">
        <f>IF(' Bảng nhập công'!E20&gt;'Bảng tính toán'!$Q$5,(' Bảng nhập công'!E20-'Bảng tính toán'!$Q$5),0)+' Bảng nhập công'!G20</f>
        <v>0</v>
      </c>
      <c r="AD20" s="229">
        <f>AC20*'Danh muc'!P20</f>
        <v>0</v>
      </c>
      <c r="AE20" s="23"/>
      <c r="AF20" s="22">
        <f>' Bảng nhập công'!$K20</f>
        <v>0</v>
      </c>
      <c r="AG20" s="229">
        <f>$AF20*'Danh muc'!$V20</f>
        <v>0</v>
      </c>
      <c r="AH20" s="23"/>
      <c r="AI20" s="23">
        <f>' Bảng nhập công'!$L20</f>
        <v>0</v>
      </c>
      <c r="AJ20" s="25">
        <f>$AI20*'Danh muc'!$U20</f>
        <v>0</v>
      </c>
      <c r="AK20" s="13"/>
      <c r="AL20" s="23">
        <f>' Bảng nhập công'!$M20</f>
        <v>0</v>
      </c>
      <c r="AM20" s="229">
        <f>$AL20*'Danh muc'!$T20</f>
        <v>0</v>
      </c>
      <c r="AN20" s="23"/>
      <c r="AO20" s="24">
        <f>' Bảng nhập công'!$DC20</f>
        <v>0</v>
      </c>
      <c r="AP20" s="230">
        <f>$AO20*'Danh muc'!$O20*8</f>
        <v>0</v>
      </c>
      <c r="AQ20" s="445"/>
      <c r="AR20" s="13">
        <f>' Bảng nhập công'!$DD20</f>
        <v>1</v>
      </c>
      <c r="AS20" s="25">
        <f>$AR20*'Danh muc'!$O20*8</f>
        <v>219230.76923076922</v>
      </c>
      <c r="AT20" s="13"/>
      <c r="AU20" s="13"/>
      <c r="AV20" s="13"/>
      <c r="AW20" s="25">
        <f t="shared" si="0"/>
        <v>0</v>
      </c>
      <c r="AX20" s="13"/>
      <c r="AY20" s="13"/>
      <c r="AZ20" s="25"/>
      <c r="BA20" s="25">
        <f t="shared" si="1"/>
        <v>0</v>
      </c>
      <c r="BB20" s="13"/>
      <c r="BC20" s="25"/>
      <c r="BD20" s="13"/>
      <c r="BE20" s="295"/>
      <c r="BF20" s="446"/>
      <c r="BG20" s="295"/>
      <c r="BH20" s="446"/>
      <c r="BI20" s="295"/>
      <c r="BJ20" s="446"/>
      <c r="BK20" s="295"/>
      <c r="BL20" s="448"/>
      <c r="BM20" s="295"/>
      <c r="BN20" s="446"/>
      <c r="BO20" s="317">
        <f t="shared" si="5"/>
        <v>2026923.076923077</v>
      </c>
      <c r="BP20" s="449">
        <f>'Danh muc'!$X20</f>
        <v>598500</v>
      </c>
      <c r="BQ20" s="322"/>
      <c r="BR20" s="449"/>
      <c r="BS20" s="322"/>
      <c r="BT20" s="449">
        <f>'Danh muc'!N20*0.5%</f>
        <v>28500</v>
      </c>
      <c r="BU20" s="322"/>
      <c r="BV20" s="319">
        <f>' Bảng nhập công'!DE20</f>
        <v>0</v>
      </c>
      <c r="BW20" s="27"/>
      <c r="BX20" s="320">
        <f>' Bảng nhập công'!DF20</f>
        <v>0</v>
      </c>
      <c r="BY20" s="27"/>
      <c r="BZ20" s="320"/>
      <c r="CA20" s="27"/>
      <c r="CB20" s="320"/>
      <c r="CC20" s="27"/>
      <c r="CD20" s="450"/>
      <c r="CE20" s="27"/>
      <c r="CF20" s="321">
        <f t="shared" si="6"/>
        <v>1399000</v>
      </c>
      <c r="CG20" s="11" t="s">
        <v>131</v>
      </c>
      <c r="CH20" s="27">
        <f>'Danh muc'!$W20</f>
        <v>1225500</v>
      </c>
      <c r="CI20" s="280"/>
    </row>
    <row r="21" spans="1:87" s="1" customFormat="1" ht="19.5" customHeight="1">
      <c r="A21" s="12">
        <f>'Danh muc'!A21</f>
        <v>14</v>
      </c>
      <c r="B21" s="6">
        <f>'Danh muc'!B21</f>
        <v>24021900</v>
      </c>
      <c r="C21" s="11" t="str">
        <f>'Danh muc'!C21</f>
        <v>Nguyễn Bảo Toàn</v>
      </c>
      <c r="D21" s="12" t="str">
        <f>'Danh muc'!E21</f>
        <v>Kho</v>
      </c>
      <c r="E21" s="13">
        <f>' Bảng nhập công'!$H21</f>
        <v>0</v>
      </c>
      <c r="F21" s="13">
        <f>$E21*'Danh muc'!$H21</f>
        <v>0</v>
      </c>
      <c r="G21" s="13">
        <f>'Danh muc'!J21</f>
        <v>0</v>
      </c>
      <c r="H21" s="13">
        <f>' Bảng nhập công'!$L21</f>
        <v>0</v>
      </c>
      <c r="I21" s="13">
        <f>$H21*'Danh muc'!$I21</f>
        <v>0</v>
      </c>
      <c r="J21" s="13"/>
      <c r="K21" s="13">
        <f>' Bảng nhập công'!J21</f>
        <v>0</v>
      </c>
      <c r="L21" s="13">
        <f>'Danh muc'!L21*'Bảng tính toán'!K21</f>
        <v>0</v>
      </c>
      <c r="M21" s="13"/>
      <c r="N21" s="13"/>
      <c r="O21" s="13">
        <f>'Danh muc'!$M21/26*' Bảng nhập công'!H21</f>
        <v>0</v>
      </c>
      <c r="P21" s="13"/>
      <c r="Q21" s="316">
        <f>IF((' Bảng nhập công'!$E21+' Bảng nhập công'!$F21)&gt;='Bảng tính toán'!$Q$4,'Bảng tính toán'!$Q$4,(' Bảng nhập công'!$E21+' Bảng nhập công'!$F21))</f>
        <v>0</v>
      </c>
      <c r="R21" s="25">
        <f>$Q21*'Danh muc'!$O21</f>
        <v>0</v>
      </c>
      <c r="S21" s="25">
        <f>'Danh muc'!N21</f>
        <v>6000000</v>
      </c>
      <c r="T21" s="22">
        <f>' Bảng nhập công'!DE21+' Bảng nhập công'!DF21</f>
        <v>0</v>
      </c>
      <c r="U21" s="25">
        <f>IF(OR(' Bảng nhập công'!DE21&gt;=3,' Bảng nhập công'!DF21&gt;=2),0,IF(OR(' Bảng nhập công'!DE21=2,' Bảng nhập công'!DF21=1),('Danh muc'!Q21/2),'Danh muc'!Q21))</f>
        <v>500000</v>
      </c>
      <c r="V21" s="22"/>
      <c r="W21" s="22">
        <f t="shared" si="2"/>
        <v>0</v>
      </c>
      <c r="X21" s="316"/>
      <c r="Y21" s="22"/>
      <c r="Z21" s="22">
        <f t="shared" si="3"/>
        <v>0</v>
      </c>
      <c r="AA21" s="25">
        <f t="shared" si="4"/>
        <v>1461538.4615384615</v>
      </c>
      <c r="AB21" s="13">
        <f>'Danh muc'!S21</f>
        <v>1900000</v>
      </c>
      <c r="AC21" s="22">
        <f>IF((' Bảng nhập công'!E21+' Bảng nhập công'!F21)&gt;'Bảng tính toán'!$Q$6,(' Bảng nhập công'!E21+' Bảng nhập công'!F21-'Bảng tính toán'!$Q$6),0)+' Bảng nhập công'!G21</f>
        <v>0</v>
      </c>
      <c r="AD21" s="229">
        <f>AC21*'Danh muc'!P21</f>
        <v>0</v>
      </c>
      <c r="AE21" s="23"/>
      <c r="AF21" s="22">
        <f>' Bảng nhập công'!$K21</f>
        <v>0</v>
      </c>
      <c r="AG21" s="229">
        <f>$AF21*'Danh muc'!$V21</f>
        <v>0</v>
      </c>
      <c r="AH21" s="23"/>
      <c r="AI21" s="23">
        <f>' Bảng nhập công'!$L21</f>
        <v>0</v>
      </c>
      <c r="AJ21" s="25">
        <f>$AI21*'Danh muc'!$U21</f>
        <v>0</v>
      </c>
      <c r="AK21" s="13"/>
      <c r="AL21" s="23">
        <f>' Bảng nhập công'!$M21</f>
        <v>0</v>
      </c>
      <c r="AM21" s="229">
        <f>$AL21*'Danh muc'!$T21</f>
        <v>0</v>
      </c>
      <c r="AN21" s="23"/>
      <c r="AO21" s="24">
        <f>' Bảng nhập công'!$DC21</f>
        <v>0</v>
      </c>
      <c r="AP21" s="230">
        <f>$AO21*'Danh muc'!$O21*8</f>
        <v>0</v>
      </c>
      <c r="AQ21" s="445"/>
      <c r="AR21" s="13">
        <f>' Bảng nhập công'!$DD21</f>
        <v>1</v>
      </c>
      <c r="AS21" s="25">
        <f>$AR21*'Danh muc'!$O21*8</f>
        <v>230769.23076923078</v>
      </c>
      <c r="AT21" s="13"/>
      <c r="AU21" s="13"/>
      <c r="AV21" s="13"/>
      <c r="AW21" s="25">
        <f t="shared" si="0"/>
        <v>0</v>
      </c>
      <c r="AX21" s="13"/>
      <c r="AY21" s="13"/>
      <c r="AZ21" s="25"/>
      <c r="BA21" s="25">
        <f t="shared" si="1"/>
        <v>0</v>
      </c>
      <c r="BB21" s="13"/>
      <c r="BC21" s="25"/>
      <c r="BD21" s="13"/>
      <c r="BE21" s="295"/>
      <c r="BF21" s="446"/>
      <c r="BG21" s="295"/>
      <c r="BH21" s="446"/>
      <c r="BI21" s="295"/>
      <c r="BJ21" s="446"/>
      <c r="BK21" s="295"/>
      <c r="BL21" s="448"/>
      <c r="BM21" s="295"/>
      <c r="BN21" s="446"/>
      <c r="BO21" s="317">
        <f t="shared" si="5"/>
        <v>2192307.6923076925</v>
      </c>
      <c r="BP21" s="449">
        <f>'Danh muc'!$X21</f>
        <v>630000</v>
      </c>
      <c r="BQ21" s="322"/>
      <c r="BR21" s="449"/>
      <c r="BS21" s="322"/>
      <c r="BT21" s="449">
        <f>'Danh muc'!N21*0.5%</f>
        <v>30000</v>
      </c>
      <c r="BU21" s="322"/>
      <c r="BV21" s="319">
        <f>' Bảng nhập công'!DE21</f>
        <v>0</v>
      </c>
      <c r="BW21" s="27"/>
      <c r="BX21" s="320">
        <f>' Bảng nhập công'!DF21</f>
        <v>0</v>
      </c>
      <c r="BY21" s="27"/>
      <c r="BZ21" s="320"/>
      <c r="CA21" s="27"/>
      <c r="CB21" s="320"/>
      <c r="CC21" s="27"/>
      <c r="CD21" s="450"/>
      <c r="CE21" s="27"/>
      <c r="CF21" s="321">
        <f t="shared" si="6"/>
        <v>1532000</v>
      </c>
      <c r="CG21" s="11" t="s">
        <v>131</v>
      </c>
      <c r="CH21" s="27">
        <f>'Danh muc'!$W21</f>
        <v>1290000</v>
      </c>
      <c r="CI21" s="280"/>
    </row>
    <row r="22" spans="1:87" s="1" customFormat="1" ht="19.5" customHeight="1">
      <c r="A22" s="12">
        <f>'Danh muc'!A22</f>
        <v>15</v>
      </c>
      <c r="B22" s="6">
        <f>'Danh muc'!B22</f>
        <v>22022200</v>
      </c>
      <c r="C22" s="11" t="str">
        <f>'Danh muc'!C22</f>
        <v>Võ Minh Hiếu</v>
      </c>
      <c r="D22" s="12" t="str">
        <f>'Danh muc'!E22</f>
        <v>Kho</v>
      </c>
      <c r="E22" s="13">
        <f>' Bảng nhập công'!$H22</f>
        <v>0</v>
      </c>
      <c r="F22" s="13">
        <f>$E22*'Danh muc'!$H22</f>
        <v>0</v>
      </c>
      <c r="G22" s="13">
        <f>'Danh muc'!J22</f>
        <v>0</v>
      </c>
      <c r="H22" s="13">
        <f>' Bảng nhập công'!$L22</f>
        <v>0</v>
      </c>
      <c r="I22" s="13">
        <f>$H22*'Danh muc'!$I22</f>
        <v>0</v>
      </c>
      <c r="J22" s="13"/>
      <c r="K22" s="13">
        <f>' Bảng nhập công'!J22</f>
        <v>0</v>
      </c>
      <c r="L22" s="13">
        <f>'Danh muc'!L22*'Bảng tính toán'!K22</f>
        <v>0</v>
      </c>
      <c r="M22" s="13"/>
      <c r="N22" s="13"/>
      <c r="O22" s="13">
        <f>'Danh muc'!$M22/26*' Bảng nhập công'!H22</f>
        <v>0</v>
      </c>
      <c r="P22" s="13"/>
      <c r="Q22" s="316">
        <f>IF((' Bảng nhập công'!$E22+' Bảng nhập công'!$F22)&gt;='Bảng tính toán'!$Q$4,'Bảng tính toán'!$Q$4,(' Bảng nhập công'!$E22+' Bảng nhập công'!$F22))</f>
        <v>0</v>
      </c>
      <c r="R22" s="25">
        <f>$Q22*'Danh muc'!$O22</f>
        <v>0</v>
      </c>
      <c r="S22" s="25">
        <f>'Danh muc'!N22</f>
        <v>6100000</v>
      </c>
      <c r="T22" s="22">
        <f>' Bảng nhập công'!DE22+' Bảng nhập công'!DF22</f>
        <v>0</v>
      </c>
      <c r="U22" s="25">
        <f>IF(OR(' Bảng nhập công'!DE22&gt;=3,' Bảng nhập công'!DF22&gt;=2),0,IF(OR(' Bảng nhập công'!DE22=2,' Bảng nhập công'!DF22=1),('Danh muc'!Q22/2),'Danh muc'!Q22))</f>
        <v>500000</v>
      </c>
      <c r="V22" s="22"/>
      <c r="W22" s="22">
        <f t="shared" si="2"/>
        <v>0</v>
      </c>
      <c r="X22" s="316"/>
      <c r="Y22" s="22"/>
      <c r="Z22" s="22">
        <f t="shared" si="3"/>
        <v>0</v>
      </c>
      <c r="AA22" s="25">
        <f>AB22-(AB22/26*6.5)</f>
        <v>1050000</v>
      </c>
      <c r="AB22" s="13">
        <f>'Danh muc'!S22</f>
        <v>1400000</v>
      </c>
      <c r="AC22" s="22">
        <f>IF((' Bảng nhập công'!E22+' Bảng nhập công'!F22)&gt;'Bảng tính toán'!$Q$6,(' Bảng nhập công'!E22+' Bảng nhập công'!F22-'Bảng tính toán'!$Q$6),0)+' Bảng nhập công'!G22</f>
        <v>0</v>
      </c>
      <c r="AD22" s="229">
        <f>AC22*'Danh muc'!P22</f>
        <v>0</v>
      </c>
      <c r="AE22" s="23"/>
      <c r="AF22" s="22">
        <f>' Bảng nhập công'!$K22</f>
        <v>0</v>
      </c>
      <c r="AG22" s="229">
        <f>$AF22*'Danh muc'!$V22</f>
        <v>0</v>
      </c>
      <c r="AH22" s="23"/>
      <c r="AI22" s="23">
        <f>' Bảng nhập công'!$L22</f>
        <v>0</v>
      </c>
      <c r="AJ22" s="25">
        <f>$AI22*'Danh muc'!$U22</f>
        <v>0</v>
      </c>
      <c r="AK22" s="13"/>
      <c r="AL22" s="23">
        <f>' Bảng nhập công'!$M22</f>
        <v>0</v>
      </c>
      <c r="AM22" s="229">
        <f>$AL22*'Danh muc'!$T22</f>
        <v>0</v>
      </c>
      <c r="AN22" s="23"/>
      <c r="AO22" s="24">
        <f>' Bảng nhập công'!$DC22</f>
        <v>0</v>
      </c>
      <c r="AP22" s="230">
        <f>$AO22*'Danh muc'!$O22*8</f>
        <v>0</v>
      </c>
      <c r="AQ22" s="445"/>
      <c r="AR22" s="13">
        <f>' Bảng nhập công'!$DD22</f>
        <v>1</v>
      </c>
      <c r="AS22" s="25">
        <f>$AR22*'Danh muc'!$O22*8</f>
        <v>234615.38461538462</v>
      </c>
      <c r="AT22" s="13"/>
      <c r="AU22" s="13"/>
      <c r="AV22" s="13"/>
      <c r="AW22" s="25">
        <f t="shared" si="0"/>
        <v>0</v>
      </c>
      <c r="AX22" s="13"/>
      <c r="AY22" s="13"/>
      <c r="AZ22" s="25"/>
      <c r="BA22" s="25">
        <f t="shared" si="1"/>
        <v>0</v>
      </c>
      <c r="BB22" s="13"/>
      <c r="BC22" s="25"/>
      <c r="BD22" s="13"/>
      <c r="BE22" s="295"/>
      <c r="BF22" s="446"/>
      <c r="BG22" s="295"/>
      <c r="BH22" s="446"/>
      <c r="BI22" s="295"/>
      <c r="BJ22" s="446"/>
      <c r="BK22" s="295"/>
      <c r="BL22" s="448"/>
      <c r="BM22" s="295"/>
      <c r="BN22" s="446"/>
      <c r="BO22" s="317">
        <f t="shared" si="5"/>
        <v>1784615.3846153845</v>
      </c>
      <c r="BP22" s="449">
        <f>'Danh muc'!$X22</f>
        <v>640500</v>
      </c>
      <c r="BQ22" s="322"/>
      <c r="BR22" s="449"/>
      <c r="BS22" s="322"/>
      <c r="BT22" s="449">
        <f>'Danh muc'!N22*0.5%</f>
        <v>30500</v>
      </c>
      <c r="BU22" s="322"/>
      <c r="BV22" s="319">
        <f>' Bảng nhập công'!DE22</f>
        <v>0</v>
      </c>
      <c r="BW22" s="27"/>
      <c r="BX22" s="320">
        <f>' Bảng nhập công'!DF22</f>
        <v>0</v>
      </c>
      <c r="BY22" s="27"/>
      <c r="BZ22" s="320"/>
      <c r="CA22" s="27"/>
      <c r="CB22" s="320"/>
      <c r="CC22" s="27"/>
      <c r="CD22" s="450"/>
      <c r="CE22" s="27"/>
      <c r="CF22" s="321">
        <f t="shared" si="6"/>
        <v>1113000</v>
      </c>
      <c r="CG22" s="11" t="s">
        <v>131</v>
      </c>
      <c r="CH22" s="27">
        <f>'Danh muc'!$W22</f>
        <v>1311500</v>
      </c>
      <c r="CI22" s="280"/>
    </row>
    <row r="23" spans="1:87" s="1" customFormat="1" ht="19.5" customHeight="1">
      <c r="A23" s="12">
        <f>'Danh muc'!A23</f>
        <v>16</v>
      </c>
      <c r="B23" s="6">
        <f>'Danh muc'!B23</f>
        <v>24111800</v>
      </c>
      <c r="C23" s="11" t="str">
        <f>'Danh muc'!C23</f>
        <v>Hồ Ngọc Quế Trinh</v>
      </c>
      <c r="D23" s="12" t="str">
        <f>'Danh muc'!E23</f>
        <v>QC</v>
      </c>
      <c r="E23" s="13">
        <f>' Bảng nhập công'!$H23</f>
        <v>0</v>
      </c>
      <c r="F23" s="13">
        <f>$E23*'Danh muc'!$H23</f>
        <v>0</v>
      </c>
      <c r="G23" s="13">
        <f>'Danh muc'!J23</f>
        <v>0</v>
      </c>
      <c r="H23" s="13">
        <f>' Bảng nhập công'!$L23</f>
        <v>0</v>
      </c>
      <c r="I23" s="13">
        <f>$H23*'Danh muc'!$I23</f>
        <v>0</v>
      </c>
      <c r="J23" s="13"/>
      <c r="K23" s="13">
        <f>' Bảng nhập công'!J23</f>
        <v>0</v>
      </c>
      <c r="L23" s="13">
        <f>'Danh muc'!L23*'Bảng tính toán'!K23</f>
        <v>0</v>
      </c>
      <c r="M23" s="13"/>
      <c r="N23" s="13"/>
      <c r="O23" s="13">
        <f>'Danh muc'!$M23/26*' Bảng nhập công'!H23</f>
        <v>0</v>
      </c>
      <c r="P23" s="13"/>
      <c r="Q23" s="316">
        <f>IF((' Bảng nhập công'!$E23+' Bảng nhập công'!$F23)&gt;='Bảng tính toán'!$Q$4,'Bảng tính toán'!$Q$4,(' Bảng nhập công'!$E23+' Bảng nhập công'!$F23))</f>
        <v>0</v>
      </c>
      <c r="R23" s="25">
        <f>$Q23*'Danh muc'!$O23</f>
        <v>0</v>
      </c>
      <c r="S23" s="25">
        <f>'Danh muc'!N23</f>
        <v>6000000</v>
      </c>
      <c r="T23" s="22">
        <f>' Bảng nhập công'!DE23+' Bảng nhập công'!DF23</f>
        <v>0</v>
      </c>
      <c r="U23" s="25">
        <f>IF(OR(' Bảng nhập công'!DE23&gt;=3,' Bảng nhập công'!DF23&gt;=2),0,IF(OR(' Bảng nhập công'!DE23=2,' Bảng nhập công'!DF23=1),('Danh muc'!Q23/2),'Danh muc'!Q23))</f>
        <v>500000</v>
      </c>
      <c r="V23" s="22"/>
      <c r="W23" s="22">
        <f t="shared" si="2"/>
        <v>0</v>
      </c>
      <c r="X23" s="316"/>
      <c r="Y23" s="22"/>
      <c r="Z23" s="22">
        <f t="shared" si="3"/>
        <v>0</v>
      </c>
      <c r="AA23" s="25">
        <f t="shared" si="4"/>
        <v>846153.84615384624</v>
      </c>
      <c r="AB23" s="13">
        <f>'Danh muc'!S23</f>
        <v>1100000</v>
      </c>
      <c r="AC23" s="22">
        <f>IF((' Bảng nhập công'!E23+' Bảng nhập công'!F23)&gt;'Bảng tính toán'!$Q$6,(' Bảng nhập công'!E23+' Bảng nhập công'!F23-'Bảng tính toán'!$Q$6),0)+' Bảng nhập công'!G23</f>
        <v>0</v>
      </c>
      <c r="AD23" s="229">
        <f>AC23*'Danh muc'!P23</f>
        <v>0</v>
      </c>
      <c r="AE23" s="23"/>
      <c r="AF23" s="22">
        <f>' Bảng nhập công'!$K23</f>
        <v>0</v>
      </c>
      <c r="AG23" s="229">
        <f>$AF23*'Danh muc'!$V23</f>
        <v>0</v>
      </c>
      <c r="AH23" s="23"/>
      <c r="AI23" s="23">
        <f>' Bảng nhập công'!$L23</f>
        <v>0</v>
      </c>
      <c r="AJ23" s="25">
        <f>$AI23*'Danh muc'!$U23</f>
        <v>0</v>
      </c>
      <c r="AK23" s="13"/>
      <c r="AL23" s="23">
        <f>' Bảng nhập công'!$M23</f>
        <v>0</v>
      </c>
      <c r="AM23" s="229">
        <f>$AL23*'Danh muc'!$T23</f>
        <v>0</v>
      </c>
      <c r="AN23" s="23"/>
      <c r="AO23" s="24">
        <f>' Bảng nhập công'!$DC23</f>
        <v>0</v>
      </c>
      <c r="AP23" s="230">
        <f>$AO23*'Danh muc'!$O23*8</f>
        <v>0</v>
      </c>
      <c r="AQ23" s="445"/>
      <c r="AR23" s="13">
        <f>' Bảng nhập công'!$DD23</f>
        <v>1</v>
      </c>
      <c r="AS23" s="25">
        <f>$AR23*'Danh muc'!$O23*8</f>
        <v>230769.23076923078</v>
      </c>
      <c r="AT23" s="13"/>
      <c r="AU23" s="13"/>
      <c r="AV23" s="13"/>
      <c r="AW23" s="25">
        <f t="shared" si="0"/>
        <v>0</v>
      </c>
      <c r="AX23" s="13"/>
      <c r="AY23" s="13"/>
      <c r="AZ23" s="25"/>
      <c r="BA23" s="25">
        <f t="shared" si="1"/>
        <v>0</v>
      </c>
      <c r="BB23" s="13"/>
      <c r="BC23" s="25"/>
      <c r="BD23" s="13"/>
      <c r="BE23" s="295"/>
      <c r="BF23" s="446"/>
      <c r="BG23" s="295"/>
      <c r="BH23" s="446"/>
      <c r="BI23" s="295"/>
      <c r="BJ23" s="446"/>
      <c r="BK23" s="295"/>
      <c r="BL23" s="448"/>
      <c r="BM23" s="295"/>
      <c r="BN23" s="446"/>
      <c r="BO23" s="317">
        <f t="shared" si="5"/>
        <v>1576923.076923077</v>
      </c>
      <c r="BP23" s="449">
        <f>'Danh muc'!$X23</f>
        <v>630000</v>
      </c>
      <c r="BQ23" s="322"/>
      <c r="BR23" s="449"/>
      <c r="BS23" s="322"/>
      <c r="BT23" s="449">
        <f>'Danh muc'!N23*0.5%</f>
        <v>30000</v>
      </c>
      <c r="BU23" s="322"/>
      <c r="BV23" s="319">
        <f>' Bảng nhập công'!DE23</f>
        <v>0</v>
      </c>
      <c r="BW23" s="27"/>
      <c r="BX23" s="320">
        <f>' Bảng nhập công'!DF23</f>
        <v>0</v>
      </c>
      <c r="BY23" s="27"/>
      <c r="BZ23" s="320"/>
      <c r="CA23" s="27"/>
      <c r="CB23" s="320"/>
      <c r="CC23" s="27"/>
      <c r="CD23" s="450"/>
      <c r="CE23" s="27"/>
      <c r="CF23" s="321">
        <f t="shared" si="6"/>
        <v>916000</v>
      </c>
      <c r="CG23" s="11" t="s">
        <v>131</v>
      </c>
      <c r="CH23" s="27">
        <f>'Danh muc'!$W23</f>
        <v>1290000</v>
      </c>
      <c r="CI23" s="280"/>
    </row>
    <row r="24" spans="1:87" s="1" customFormat="1" ht="19.5" customHeight="1">
      <c r="A24" s="12">
        <f>'Danh muc'!A24</f>
        <v>17</v>
      </c>
      <c r="B24" s="6">
        <f>'Danh muc'!B24</f>
        <v>24030400</v>
      </c>
      <c r="C24" s="11" t="str">
        <f>'Danh muc'!C24</f>
        <v>Ngô Dương Thùy Trang</v>
      </c>
      <c r="D24" s="12" t="str">
        <f>'Danh muc'!E24</f>
        <v>QA</v>
      </c>
      <c r="E24" s="13">
        <f>' Bảng nhập công'!$H24</f>
        <v>0</v>
      </c>
      <c r="F24" s="13">
        <f>$E24*'Danh muc'!$H24</f>
        <v>0</v>
      </c>
      <c r="G24" s="13">
        <f>'Danh muc'!J24</f>
        <v>0</v>
      </c>
      <c r="H24" s="13">
        <f>' Bảng nhập công'!$L24</f>
        <v>0</v>
      </c>
      <c r="I24" s="13">
        <f>$H24*'Danh muc'!$I24</f>
        <v>0</v>
      </c>
      <c r="J24" s="13"/>
      <c r="K24" s="13">
        <f>' Bảng nhập công'!J24</f>
        <v>0</v>
      </c>
      <c r="L24" s="13">
        <f>'Danh muc'!L24*'Bảng tính toán'!K24</f>
        <v>0</v>
      </c>
      <c r="M24" s="13"/>
      <c r="N24" s="13"/>
      <c r="O24" s="13">
        <f>'Danh muc'!$M24/26*' Bảng nhập công'!H24</f>
        <v>0</v>
      </c>
      <c r="P24" s="13"/>
      <c r="Q24" s="316">
        <f>IF((' Bảng nhập công'!$E24+' Bảng nhập công'!$F24)&gt;='Bảng tính toán'!$Q$4,'Bảng tính toán'!$Q$4,(' Bảng nhập công'!$E24+' Bảng nhập công'!$F24))</f>
        <v>0</v>
      </c>
      <c r="R24" s="25">
        <f>$Q24*'Danh muc'!$O24</f>
        <v>0</v>
      </c>
      <c r="S24" s="25">
        <f>'Danh muc'!N24</f>
        <v>6200000</v>
      </c>
      <c r="T24" s="22">
        <f>' Bảng nhập công'!DE24+' Bảng nhập công'!DF24</f>
        <v>0</v>
      </c>
      <c r="U24" s="25">
        <f>IF(OR(' Bảng nhập công'!DE24&gt;=3,' Bảng nhập công'!DF24&gt;=2),0,IF(OR(' Bảng nhập công'!DE24=2,' Bảng nhập công'!DF24=1),('Danh muc'!Q24/2),'Danh muc'!Q24))</f>
        <v>500000</v>
      </c>
      <c r="V24" s="22"/>
      <c r="W24" s="22">
        <f t="shared" si="2"/>
        <v>0</v>
      </c>
      <c r="X24" s="316"/>
      <c r="Y24" s="22"/>
      <c r="Z24" s="22">
        <f t="shared" si="3"/>
        <v>0</v>
      </c>
      <c r="AA24" s="25">
        <f t="shared" si="4"/>
        <v>384615.38461538462</v>
      </c>
      <c r="AB24" s="13">
        <f>'Danh muc'!S24</f>
        <v>500000</v>
      </c>
      <c r="AC24" s="22">
        <f>IF((' Bảng nhập công'!E24+' Bảng nhập công'!F24)&gt;'Bảng tính toán'!$Q$6,(' Bảng nhập công'!E24+' Bảng nhập công'!F24-'Bảng tính toán'!$Q$6),0)+' Bảng nhập công'!G24</f>
        <v>0</v>
      </c>
      <c r="AD24" s="229">
        <f>AC24*'Danh muc'!P24</f>
        <v>0</v>
      </c>
      <c r="AE24" s="23"/>
      <c r="AF24" s="22">
        <f>' Bảng nhập công'!$K24</f>
        <v>0</v>
      </c>
      <c r="AG24" s="229">
        <f>$AF24*'Danh muc'!$V24</f>
        <v>0</v>
      </c>
      <c r="AH24" s="23"/>
      <c r="AI24" s="23">
        <f>' Bảng nhập công'!$L24</f>
        <v>0</v>
      </c>
      <c r="AJ24" s="25">
        <f>$AI24*'Danh muc'!$U24</f>
        <v>0</v>
      </c>
      <c r="AK24" s="13"/>
      <c r="AL24" s="23">
        <f>' Bảng nhập công'!$M24</f>
        <v>0</v>
      </c>
      <c r="AM24" s="229">
        <f>$AL24*'Danh muc'!$T24</f>
        <v>0</v>
      </c>
      <c r="AN24" s="23"/>
      <c r="AO24" s="24">
        <f>' Bảng nhập công'!$DC24</f>
        <v>0</v>
      </c>
      <c r="AP24" s="230">
        <f>$AO24*'Danh muc'!$O24*8</f>
        <v>0</v>
      </c>
      <c r="AQ24" s="445"/>
      <c r="AR24" s="13">
        <f>' Bảng nhập công'!$DD24</f>
        <v>1</v>
      </c>
      <c r="AS24" s="25">
        <f>$AR24*'Danh muc'!$O24*8</f>
        <v>238461.53846153847</v>
      </c>
      <c r="AT24" s="13"/>
      <c r="AU24" s="13"/>
      <c r="AV24" s="13"/>
      <c r="AW24" s="25">
        <f t="shared" si="0"/>
        <v>0</v>
      </c>
      <c r="AX24" s="13"/>
      <c r="AY24" s="13"/>
      <c r="AZ24" s="25"/>
      <c r="BA24" s="25">
        <f t="shared" si="1"/>
        <v>0</v>
      </c>
      <c r="BB24" s="13"/>
      <c r="BC24" s="25"/>
      <c r="BD24" s="13"/>
      <c r="BE24" s="295"/>
      <c r="BF24" s="446"/>
      <c r="BG24" s="295"/>
      <c r="BH24" s="446"/>
      <c r="BI24" s="295"/>
      <c r="BJ24" s="446"/>
      <c r="BK24" s="295"/>
      <c r="BL24" s="448"/>
      <c r="BM24" s="295"/>
      <c r="BN24" s="446"/>
      <c r="BO24" s="317">
        <f t="shared" si="5"/>
        <v>1123076.923076923</v>
      </c>
      <c r="BP24" s="449">
        <f>'Danh muc'!$X24</f>
        <v>651000</v>
      </c>
      <c r="BQ24" s="322"/>
      <c r="BR24" s="449"/>
      <c r="BS24" s="322"/>
      <c r="BT24" s="449">
        <f>'Danh muc'!N24*0.5%</f>
        <v>31000</v>
      </c>
      <c r="BU24" s="322"/>
      <c r="BV24" s="319">
        <f>' Bảng nhập công'!DE24</f>
        <v>0</v>
      </c>
      <c r="BW24" s="27"/>
      <c r="BX24" s="320">
        <f>' Bảng nhập công'!DF24</f>
        <v>0</v>
      </c>
      <c r="BY24" s="27"/>
      <c r="BZ24" s="320"/>
      <c r="CA24" s="27"/>
      <c r="CB24" s="320"/>
      <c r="CC24" s="27"/>
      <c r="CD24" s="450"/>
      <c r="CE24" s="27"/>
      <c r="CF24" s="321">
        <f t="shared" si="6"/>
        <v>441000</v>
      </c>
      <c r="CG24" s="11" t="s">
        <v>131</v>
      </c>
      <c r="CH24" s="27">
        <f>'Danh muc'!$W24</f>
        <v>1333000</v>
      </c>
      <c r="CI24" s="280"/>
    </row>
    <row r="25" spans="1:87" s="1" customFormat="1" ht="19.5" customHeight="1">
      <c r="A25" s="12">
        <f>'Danh muc'!A25</f>
        <v>18</v>
      </c>
      <c r="B25" s="6">
        <f>'Danh muc'!B25</f>
        <v>21120700</v>
      </c>
      <c r="C25" s="11" t="str">
        <f>'Danh muc'!C25</f>
        <v>Phan Thị Ngọc Hân</v>
      </c>
      <c r="D25" s="12" t="str">
        <f>'Danh muc'!E25</f>
        <v>QA</v>
      </c>
      <c r="E25" s="13">
        <f>' Bảng nhập công'!$H25</f>
        <v>0</v>
      </c>
      <c r="F25" s="13">
        <f>$E25*'Danh muc'!$H25</f>
        <v>0</v>
      </c>
      <c r="G25" s="13">
        <f>'Danh muc'!J25</f>
        <v>0</v>
      </c>
      <c r="H25" s="13">
        <f>' Bảng nhập công'!$L25</f>
        <v>0</v>
      </c>
      <c r="I25" s="13">
        <f>$H25*'Danh muc'!$I25</f>
        <v>0</v>
      </c>
      <c r="J25" s="13"/>
      <c r="K25" s="13">
        <f>' Bảng nhập công'!J25</f>
        <v>0</v>
      </c>
      <c r="L25" s="13">
        <f>'Danh muc'!L25*'Bảng tính toán'!K25</f>
        <v>0</v>
      </c>
      <c r="M25" s="13"/>
      <c r="N25" s="13"/>
      <c r="O25" s="13">
        <f>'Danh muc'!$M25/26*' Bảng nhập công'!H25</f>
        <v>0</v>
      </c>
      <c r="P25" s="13"/>
      <c r="Q25" s="316">
        <f>IF((' Bảng nhập công'!$E25+' Bảng nhập công'!$F25)&gt;='Bảng tính toán'!$Q$4,'Bảng tính toán'!$Q$4,(' Bảng nhập công'!$E25+' Bảng nhập công'!$F25))</f>
        <v>0</v>
      </c>
      <c r="R25" s="25">
        <f>$Q25*'Danh muc'!$O25</f>
        <v>0</v>
      </c>
      <c r="S25" s="25">
        <f>'Danh muc'!N25</f>
        <v>6200000</v>
      </c>
      <c r="T25" s="22">
        <f>' Bảng nhập công'!DE25+' Bảng nhập công'!DF25</f>
        <v>0</v>
      </c>
      <c r="U25" s="25">
        <f>IF(OR(' Bảng nhập công'!DE25&gt;=3,' Bảng nhập công'!DF25&gt;=2),0,IF(OR(' Bảng nhập công'!DE25=2,' Bảng nhập công'!DF25=1),('Danh muc'!Q25/2),'Danh muc'!Q25))</f>
        <v>500000</v>
      </c>
      <c r="V25" s="22"/>
      <c r="W25" s="22">
        <f t="shared" si="2"/>
        <v>0</v>
      </c>
      <c r="X25" s="316"/>
      <c r="Y25" s="22"/>
      <c r="Z25" s="22">
        <f t="shared" si="3"/>
        <v>0</v>
      </c>
      <c r="AA25" s="25">
        <f t="shared" si="4"/>
        <v>653846.15384615387</v>
      </c>
      <c r="AB25" s="13">
        <f>'Danh muc'!S25</f>
        <v>850000</v>
      </c>
      <c r="AC25" s="22">
        <f>IF((' Bảng nhập công'!E25+' Bảng nhập công'!F25)&gt;'Bảng tính toán'!$Q$6,(' Bảng nhập công'!E25+' Bảng nhập công'!F25-'Bảng tính toán'!$Q$6),0)+' Bảng nhập công'!G25</f>
        <v>0</v>
      </c>
      <c r="AD25" s="229">
        <f>AC25*'Danh muc'!P25</f>
        <v>0</v>
      </c>
      <c r="AE25" s="23"/>
      <c r="AF25" s="22">
        <f>' Bảng nhập công'!$K25</f>
        <v>0</v>
      </c>
      <c r="AG25" s="229">
        <f>$AF25*'Danh muc'!$V25</f>
        <v>0</v>
      </c>
      <c r="AH25" s="23"/>
      <c r="AI25" s="23">
        <f>' Bảng nhập công'!$L25</f>
        <v>0</v>
      </c>
      <c r="AJ25" s="25">
        <f>$AI25*'Danh muc'!$U25</f>
        <v>0</v>
      </c>
      <c r="AK25" s="13"/>
      <c r="AL25" s="23">
        <f>' Bảng nhập công'!$M25</f>
        <v>0</v>
      </c>
      <c r="AM25" s="229">
        <f>$AL25*'Danh muc'!$T25</f>
        <v>0</v>
      </c>
      <c r="AN25" s="23"/>
      <c r="AO25" s="24">
        <f>' Bảng nhập công'!$DC25</f>
        <v>0</v>
      </c>
      <c r="AP25" s="230">
        <f>$AO25*'Danh muc'!$O25*8</f>
        <v>0</v>
      </c>
      <c r="AQ25" s="445"/>
      <c r="AR25" s="13">
        <f>' Bảng nhập công'!$DD25</f>
        <v>1</v>
      </c>
      <c r="AS25" s="25">
        <f>$AR25*'Danh muc'!$O25*8</f>
        <v>238461.53846153847</v>
      </c>
      <c r="AT25" s="13"/>
      <c r="AU25" s="13"/>
      <c r="AV25" s="13"/>
      <c r="AW25" s="25">
        <f t="shared" si="0"/>
        <v>0</v>
      </c>
      <c r="AX25" s="13"/>
      <c r="AY25" s="13"/>
      <c r="AZ25" s="25"/>
      <c r="BA25" s="25">
        <f t="shared" si="1"/>
        <v>0</v>
      </c>
      <c r="BB25" s="13"/>
      <c r="BC25" s="25"/>
      <c r="BD25" s="13"/>
      <c r="BE25" s="295"/>
      <c r="BF25" s="446"/>
      <c r="BG25" s="295"/>
      <c r="BH25" s="446"/>
      <c r="BI25" s="295"/>
      <c r="BJ25" s="446"/>
      <c r="BK25" s="295"/>
      <c r="BL25" s="448"/>
      <c r="BM25" s="295"/>
      <c r="BN25" s="446"/>
      <c r="BO25" s="317">
        <f t="shared" si="5"/>
        <v>1392307.6923076925</v>
      </c>
      <c r="BP25" s="449">
        <f>'Danh muc'!$X25</f>
        <v>651000</v>
      </c>
      <c r="BQ25" s="322"/>
      <c r="BR25" s="449"/>
      <c r="BS25" s="322"/>
      <c r="BT25" s="449">
        <f>'Danh muc'!N25*0.5%</f>
        <v>31000</v>
      </c>
      <c r="BU25" s="322"/>
      <c r="BV25" s="319">
        <f>' Bảng nhập công'!DE25</f>
        <v>0</v>
      </c>
      <c r="BW25" s="27"/>
      <c r="BX25" s="320">
        <f>' Bảng nhập công'!DF25</f>
        <v>0</v>
      </c>
      <c r="BY25" s="27"/>
      <c r="BZ25" s="320"/>
      <c r="CA25" s="27"/>
      <c r="CB25" s="320"/>
      <c r="CC25" s="27"/>
      <c r="CD25" s="450"/>
      <c r="CE25" s="27"/>
      <c r="CF25" s="321">
        <f t="shared" si="6"/>
        <v>710000</v>
      </c>
      <c r="CG25" s="11" t="s">
        <v>131</v>
      </c>
      <c r="CH25" s="27">
        <f>'Danh muc'!$W25</f>
        <v>1333000</v>
      </c>
      <c r="CI25" s="280"/>
    </row>
    <row r="26" spans="1:87" s="1" customFormat="1" ht="19.5" customHeight="1">
      <c r="A26" s="12">
        <f>'Danh muc'!A26</f>
        <v>19</v>
      </c>
      <c r="B26" s="6">
        <f>'Danh muc'!B26</f>
        <v>20040800</v>
      </c>
      <c r="C26" s="11" t="str">
        <f>'Danh muc'!C26</f>
        <v>Nguyễn Thị Huế Trân</v>
      </c>
      <c r="D26" s="12" t="str">
        <f>'Danh muc'!E26</f>
        <v>Ngoại Quan</v>
      </c>
      <c r="E26" s="13">
        <f>' Bảng nhập công'!$H26</f>
        <v>0</v>
      </c>
      <c r="F26" s="13">
        <f>$E26*'Danh muc'!$H26</f>
        <v>0</v>
      </c>
      <c r="G26" s="13">
        <f>'Danh muc'!J26</f>
        <v>0</v>
      </c>
      <c r="H26" s="13">
        <f>' Bảng nhập công'!$L26</f>
        <v>0</v>
      </c>
      <c r="I26" s="13">
        <f>$H26*'Danh muc'!$I26</f>
        <v>0</v>
      </c>
      <c r="J26" s="13"/>
      <c r="K26" s="13">
        <f>' Bảng nhập công'!J26</f>
        <v>0</v>
      </c>
      <c r="L26" s="13">
        <f>'Danh muc'!L26*'Bảng tính toán'!K26</f>
        <v>0</v>
      </c>
      <c r="M26" s="13"/>
      <c r="N26" s="13"/>
      <c r="O26" s="13">
        <f>'Danh muc'!$M26/26*' Bảng nhập công'!H26</f>
        <v>0</v>
      </c>
      <c r="P26" s="13"/>
      <c r="Q26" s="316">
        <f>IF((' Bảng nhập công'!$E26+' Bảng nhập công'!$F26)&gt;='Bảng tính toán'!$Q$4,'Bảng tính toán'!$Q$4,(' Bảng nhập công'!$E26+' Bảng nhập công'!$F26))</f>
        <v>0</v>
      </c>
      <c r="R26" s="25">
        <f>$Q26*'Danh muc'!$O26</f>
        <v>0</v>
      </c>
      <c r="S26" s="25">
        <f>'Danh muc'!N26</f>
        <v>6500000</v>
      </c>
      <c r="T26" s="22">
        <f>' Bảng nhập công'!DE26+' Bảng nhập công'!DF26</f>
        <v>0</v>
      </c>
      <c r="U26" s="25">
        <f>IF(OR(' Bảng nhập công'!DE26&gt;=3,' Bảng nhập công'!DF26&gt;=2),0,IF(OR(' Bảng nhập công'!DE26=2,' Bảng nhập công'!DF26=1),('Danh muc'!Q26/2),'Danh muc'!Q26))</f>
        <v>500000</v>
      </c>
      <c r="V26" s="22"/>
      <c r="W26" s="22">
        <f t="shared" si="2"/>
        <v>0</v>
      </c>
      <c r="X26" s="316"/>
      <c r="Y26" s="22"/>
      <c r="Z26" s="22">
        <f t="shared" si="3"/>
        <v>0</v>
      </c>
      <c r="AA26" s="25">
        <f t="shared" si="4"/>
        <v>538461.5384615385</v>
      </c>
      <c r="AB26" s="13">
        <f>'Danh muc'!S26</f>
        <v>700000</v>
      </c>
      <c r="AC26" s="22">
        <f>IF((' Bảng nhập công'!E26+' Bảng nhập công'!F26)&gt;'Bảng tính toán'!$Q$6,(' Bảng nhập công'!E26+' Bảng nhập công'!F26-'Bảng tính toán'!$Q$6),0)+' Bảng nhập công'!G26</f>
        <v>0</v>
      </c>
      <c r="AD26" s="229">
        <f>AC26*'Danh muc'!P26</f>
        <v>0</v>
      </c>
      <c r="AE26" s="23"/>
      <c r="AF26" s="22">
        <f>' Bảng nhập công'!$K26</f>
        <v>0</v>
      </c>
      <c r="AG26" s="229">
        <f>$AF26*'Danh muc'!$V26</f>
        <v>0</v>
      </c>
      <c r="AH26" s="23"/>
      <c r="AI26" s="23">
        <f>' Bảng nhập công'!$L26</f>
        <v>0</v>
      </c>
      <c r="AJ26" s="25">
        <f>$AI26*'Danh muc'!$U26</f>
        <v>0</v>
      </c>
      <c r="AK26" s="13"/>
      <c r="AL26" s="23">
        <f>' Bảng nhập công'!$M26</f>
        <v>0</v>
      </c>
      <c r="AM26" s="229">
        <f>$AL26*'Danh muc'!$T26</f>
        <v>0</v>
      </c>
      <c r="AN26" s="23"/>
      <c r="AO26" s="24">
        <f>' Bảng nhập công'!$DC26</f>
        <v>0</v>
      </c>
      <c r="AP26" s="230">
        <f>$AO26*'Danh muc'!$O26*8</f>
        <v>0</v>
      </c>
      <c r="AQ26" s="445"/>
      <c r="AR26" s="13">
        <f>' Bảng nhập công'!$DD26</f>
        <v>1</v>
      </c>
      <c r="AS26" s="25">
        <f>$AR26*'Danh muc'!$O26*8</f>
        <v>250000</v>
      </c>
      <c r="AT26" s="13"/>
      <c r="AU26" s="13"/>
      <c r="AV26" s="13"/>
      <c r="AW26" s="25">
        <f t="shared" si="0"/>
        <v>0</v>
      </c>
      <c r="AX26" s="13"/>
      <c r="AY26" s="13"/>
      <c r="AZ26" s="25"/>
      <c r="BA26" s="25">
        <f t="shared" si="1"/>
        <v>0</v>
      </c>
      <c r="BB26" s="13"/>
      <c r="BC26" s="25"/>
      <c r="BD26" s="13"/>
      <c r="BE26" s="295"/>
      <c r="BF26" s="446"/>
      <c r="BG26" s="295"/>
      <c r="BH26" s="446"/>
      <c r="BI26" s="295"/>
      <c r="BJ26" s="446"/>
      <c r="BK26" s="295"/>
      <c r="BL26" s="448"/>
      <c r="BM26" s="295"/>
      <c r="BN26" s="446"/>
      <c r="BO26" s="317">
        <f t="shared" si="5"/>
        <v>1288461.5384615385</v>
      </c>
      <c r="BP26" s="449">
        <f>'Danh muc'!$X26</f>
        <v>682500</v>
      </c>
      <c r="BQ26" s="322"/>
      <c r="BR26" s="449"/>
      <c r="BS26" s="322"/>
      <c r="BT26" s="449">
        <f>'Danh muc'!N26*0.5%</f>
        <v>32500</v>
      </c>
      <c r="BU26" s="322"/>
      <c r="BV26" s="319">
        <f>' Bảng nhập công'!DE26</f>
        <v>0</v>
      </c>
      <c r="BW26" s="27"/>
      <c r="BX26" s="320">
        <f>' Bảng nhập công'!DF26</f>
        <v>0</v>
      </c>
      <c r="BY26" s="27"/>
      <c r="BZ26" s="320"/>
      <c r="CA26" s="27"/>
      <c r="CB26" s="320"/>
      <c r="CC26" s="27"/>
      <c r="CD26" s="450"/>
      <c r="CE26" s="27"/>
      <c r="CF26" s="321">
        <f t="shared" si="6"/>
        <v>573000</v>
      </c>
      <c r="CG26" s="11" t="s">
        <v>131</v>
      </c>
      <c r="CH26" s="27">
        <f>'Danh muc'!$W26</f>
        <v>1397500</v>
      </c>
      <c r="CI26" s="280"/>
    </row>
    <row r="27" spans="1:87" s="1" customFormat="1" ht="19.5" customHeight="1">
      <c r="A27" s="12">
        <f>'Danh muc'!A27</f>
        <v>20</v>
      </c>
      <c r="B27" s="6">
        <f>'Danh muc'!B27</f>
        <v>19010800</v>
      </c>
      <c r="C27" s="11" t="str">
        <f>'Danh muc'!C27</f>
        <v>Nguyễn Thị Bé Năm</v>
      </c>
      <c r="D27" s="12" t="str">
        <f>'Danh muc'!E27</f>
        <v>Ngoại Quan</v>
      </c>
      <c r="E27" s="22"/>
      <c r="F27" s="13"/>
      <c r="G27" s="13">
        <f>'Danh muc'!J27</f>
        <v>0</v>
      </c>
      <c r="H27" s="13">
        <f>' Bảng nhập công'!$L27</f>
        <v>0</v>
      </c>
      <c r="I27" s="13">
        <f>$H27*'Danh muc'!$I27</f>
        <v>0</v>
      </c>
      <c r="J27" s="13"/>
      <c r="K27" s="13">
        <f>' Bảng nhập công'!J27</f>
        <v>0</v>
      </c>
      <c r="L27" s="13">
        <f>'Danh muc'!L27*'Bảng tính toán'!K27</f>
        <v>0</v>
      </c>
      <c r="M27" s="13"/>
      <c r="N27" s="13"/>
      <c r="O27" s="13">
        <f>'Danh muc'!$M27/26*' Bảng nhập công'!H27</f>
        <v>0</v>
      </c>
      <c r="P27" s="13"/>
      <c r="Q27" s="316">
        <f>IF((' Bảng nhập công'!$E27+' Bảng nhập công'!$F27)&gt;='Bảng tính toán'!$Q$6,'Bảng tính toán'!$Q$6,(' Bảng nhập công'!$E27+' Bảng nhập công'!$F27))</f>
        <v>0</v>
      </c>
      <c r="R27" s="25">
        <f>$Q27*'Danh muc'!$O27</f>
        <v>0</v>
      </c>
      <c r="S27" s="25">
        <f>'Danh muc'!N27</f>
        <v>6500000</v>
      </c>
      <c r="T27" s="22">
        <f>' Bảng nhập công'!DE27+' Bảng nhập công'!DF27</f>
        <v>0</v>
      </c>
      <c r="U27" s="25">
        <f>IF(OR(' Bảng nhập công'!DE27&gt;=3,' Bảng nhập công'!DF27&gt;=2),0,IF(OR(' Bảng nhập công'!DE27=2,' Bảng nhập công'!DF27=1),('Danh muc'!Q27/2),'Danh muc'!Q27))</f>
        <v>500000</v>
      </c>
      <c r="V27" s="22"/>
      <c r="W27" s="22">
        <f t="shared" si="2"/>
        <v>0</v>
      </c>
      <c r="X27" s="316"/>
      <c r="Y27" s="22"/>
      <c r="Z27" s="22">
        <f t="shared" si="3"/>
        <v>0</v>
      </c>
      <c r="AA27" s="25">
        <f t="shared" si="4"/>
        <v>461538.4615384615</v>
      </c>
      <c r="AB27" s="13">
        <f>'Danh muc'!S27</f>
        <v>600000</v>
      </c>
      <c r="AC27" s="22">
        <f>IF((' Bảng nhập công'!E27+' Bảng nhập công'!F27)&gt;'Bảng tính toán'!$Q$6,(' Bảng nhập công'!E27+' Bảng nhập công'!F27-'Bảng tính toán'!$Q$6),0)+' Bảng nhập công'!G27</f>
        <v>0</v>
      </c>
      <c r="AD27" s="229">
        <f>AC27*'Danh muc'!P27</f>
        <v>0</v>
      </c>
      <c r="AE27" s="23"/>
      <c r="AF27" s="22">
        <f>' Bảng nhập công'!$K27</f>
        <v>0</v>
      </c>
      <c r="AG27" s="229">
        <f>$AF27*'Danh muc'!$V27</f>
        <v>0</v>
      </c>
      <c r="AH27" s="23"/>
      <c r="AI27" s="23">
        <f>' Bảng nhập công'!$L27</f>
        <v>0</v>
      </c>
      <c r="AJ27" s="25">
        <f>$AI27*'Danh muc'!$U27</f>
        <v>0</v>
      </c>
      <c r="AK27" s="13"/>
      <c r="AL27" s="23">
        <f>' Bảng nhập công'!$M27</f>
        <v>0</v>
      </c>
      <c r="AM27" s="229">
        <f>$AL27*'Danh muc'!$T27</f>
        <v>0</v>
      </c>
      <c r="AN27" s="23"/>
      <c r="AO27" s="24">
        <f>' Bảng nhập công'!$DC27</f>
        <v>0</v>
      </c>
      <c r="AP27" s="230">
        <f>$AO27*'Danh muc'!$O27*8</f>
        <v>0</v>
      </c>
      <c r="AQ27" s="445"/>
      <c r="AR27" s="13">
        <f>' Bảng nhập công'!$DD27</f>
        <v>1</v>
      </c>
      <c r="AS27" s="25">
        <f>$AR27*'Danh muc'!$O27*8</f>
        <v>250000</v>
      </c>
      <c r="AT27" s="13"/>
      <c r="AU27" s="13"/>
      <c r="AV27" s="13"/>
      <c r="AW27" s="25">
        <f t="shared" si="0"/>
        <v>0</v>
      </c>
      <c r="AX27" s="13"/>
      <c r="AY27" s="13"/>
      <c r="AZ27" s="25"/>
      <c r="BA27" s="25">
        <f t="shared" si="1"/>
        <v>0</v>
      </c>
      <c r="BB27" s="13"/>
      <c r="BC27" s="25"/>
      <c r="BD27" s="13"/>
      <c r="BE27" s="295"/>
      <c r="BF27" s="446"/>
      <c r="BG27" s="295"/>
      <c r="BH27" s="446"/>
      <c r="BI27" s="295"/>
      <c r="BJ27" s="446"/>
      <c r="BK27" s="295"/>
      <c r="BL27" s="448"/>
      <c r="BM27" s="295"/>
      <c r="BN27" s="446"/>
      <c r="BO27" s="317">
        <f t="shared" si="5"/>
        <v>1211538.4615384615</v>
      </c>
      <c r="BP27" s="449">
        <f>'Danh muc'!$X27</f>
        <v>682500</v>
      </c>
      <c r="BQ27" s="322"/>
      <c r="BR27" s="449"/>
      <c r="BS27" s="322"/>
      <c r="BT27" s="449">
        <f>'Danh muc'!N27*0.5%</f>
        <v>32500</v>
      </c>
      <c r="BU27" s="322"/>
      <c r="BV27" s="319">
        <f>' Bảng nhập công'!DE27</f>
        <v>0</v>
      </c>
      <c r="BW27" s="27"/>
      <c r="BX27" s="320">
        <f>' Bảng nhập công'!DF27</f>
        <v>0</v>
      </c>
      <c r="BY27" s="27"/>
      <c r="BZ27" s="320"/>
      <c r="CA27" s="27"/>
      <c r="CB27" s="320"/>
      <c r="CC27" s="27"/>
      <c r="CD27" s="450"/>
      <c r="CE27" s="27"/>
      <c r="CF27" s="321">
        <f t="shared" si="6"/>
        <v>496000</v>
      </c>
      <c r="CG27" s="11" t="s">
        <v>131</v>
      </c>
      <c r="CH27" s="27">
        <f>'Danh muc'!$W27+CI27</f>
        <v>1397500</v>
      </c>
      <c r="CI27" s="322"/>
    </row>
    <row r="28" spans="1:87" s="1" customFormat="1" ht="19.5" customHeight="1">
      <c r="A28" s="12">
        <f>'Danh muc'!A28</f>
        <v>21</v>
      </c>
      <c r="B28" s="6">
        <f>'Danh muc'!B28</f>
        <v>19020100</v>
      </c>
      <c r="C28" s="11" t="str">
        <f>'Danh muc'!C28</f>
        <v>Nguyễn Thị Sang</v>
      </c>
      <c r="D28" s="12" t="str">
        <f>'Danh muc'!E28</f>
        <v>Ngoại Quan</v>
      </c>
      <c r="E28" s="13">
        <f>' Bảng nhập công'!$H28</f>
        <v>0</v>
      </c>
      <c r="F28" s="13">
        <f>$E28*'Danh muc'!$H28</f>
        <v>0</v>
      </c>
      <c r="G28" s="13">
        <f>'Danh muc'!J28</f>
        <v>0</v>
      </c>
      <c r="H28" s="13"/>
      <c r="I28" s="13">
        <f>$H28*'Danh muc'!$I28</f>
        <v>0</v>
      </c>
      <c r="J28" s="13"/>
      <c r="K28" s="13">
        <f>' Bảng nhập công'!J28</f>
        <v>0</v>
      </c>
      <c r="L28" s="13">
        <f>'Danh muc'!L28*'Bảng tính toán'!K28</f>
        <v>0</v>
      </c>
      <c r="M28" s="13"/>
      <c r="N28" s="13"/>
      <c r="O28" s="13">
        <f>'Danh muc'!$M28/26*' Bảng nhập công'!H28</f>
        <v>0</v>
      </c>
      <c r="P28" s="13"/>
      <c r="Q28" s="316">
        <f>IF((' Bảng nhập công'!$E28+' Bảng nhập công'!$F28)&gt;='Bảng tính toán'!$Q$6,'Bảng tính toán'!$Q$6,(' Bảng nhập công'!$E28+' Bảng nhập công'!$F28))</f>
        <v>0</v>
      </c>
      <c r="R28" s="25">
        <f>$Q28*'Danh muc'!$O28</f>
        <v>0</v>
      </c>
      <c r="S28" s="25">
        <f>'Danh muc'!N28</f>
        <v>6500000</v>
      </c>
      <c r="T28" s="22">
        <f>' Bảng nhập công'!DE28+' Bảng nhập công'!DF28</f>
        <v>0</v>
      </c>
      <c r="U28" s="25">
        <f>IF(OR(' Bảng nhập công'!DE28&gt;=3,' Bảng nhập công'!DF28&gt;=2),0,IF(OR(' Bảng nhập công'!DE28=2,' Bảng nhập công'!DF28=1),('Danh muc'!Q28/2),'Danh muc'!Q28))</f>
        <v>500000</v>
      </c>
      <c r="V28" s="22"/>
      <c r="W28" s="22">
        <f t="shared" si="2"/>
        <v>0</v>
      </c>
      <c r="X28" s="316"/>
      <c r="Y28" s="22"/>
      <c r="Z28" s="22">
        <f t="shared" si="3"/>
        <v>0</v>
      </c>
      <c r="AA28" s="25">
        <f t="shared" si="4"/>
        <v>461538.4615384615</v>
      </c>
      <c r="AB28" s="13">
        <f>'Danh muc'!S28</f>
        <v>600000</v>
      </c>
      <c r="AC28" s="22">
        <f>IF((' Bảng nhập công'!E28+' Bảng nhập công'!F28)&gt;'Bảng tính toán'!$Q$6,(' Bảng nhập công'!E28+' Bảng nhập công'!F28-'Bảng tính toán'!$Q$6),0)+' Bảng nhập công'!G28</f>
        <v>0</v>
      </c>
      <c r="AD28" s="229">
        <f>AC28*'Danh muc'!P28</f>
        <v>0</v>
      </c>
      <c r="AE28" s="23"/>
      <c r="AF28" s="22">
        <f>' Bảng nhập công'!$K28</f>
        <v>0</v>
      </c>
      <c r="AG28" s="229">
        <f>$AF28*'Danh muc'!$V28</f>
        <v>0</v>
      </c>
      <c r="AH28" s="23"/>
      <c r="AI28" s="23">
        <f>' Bảng nhập công'!$L28</f>
        <v>0</v>
      </c>
      <c r="AJ28" s="25">
        <f>$AI28*'Danh muc'!$U28</f>
        <v>0</v>
      </c>
      <c r="AK28" s="13"/>
      <c r="AL28" s="23">
        <f>' Bảng nhập công'!$M28</f>
        <v>0</v>
      </c>
      <c r="AM28" s="229">
        <f>$AL28*'Danh muc'!$T28</f>
        <v>0</v>
      </c>
      <c r="AN28" s="23"/>
      <c r="AO28" s="24">
        <f>' Bảng nhập công'!$DC28</f>
        <v>0</v>
      </c>
      <c r="AP28" s="230">
        <f>$AO28*'Danh muc'!$O28*8</f>
        <v>0</v>
      </c>
      <c r="AQ28" s="445"/>
      <c r="AR28" s="13">
        <f>' Bảng nhập công'!$DD28</f>
        <v>1</v>
      </c>
      <c r="AS28" s="25">
        <f>$AR28*'Danh muc'!$O28*8</f>
        <v>250000</v>
      </c>
      <c r="AT28" s="13"/>
      <c r="AU28" s="13"/>
      <c r="AV28" s="13"/>
      <c r="AW28" s="25">
        <f t="shared" si="0"/>
        <v>0</v>
      </c>
      <c r="AX28" s="13"/>
      <c r="AY28" s="13"/>
      <c r="AZ28" s="25"/>
      <c r="BA28" s="25">
        <f t="shared" si="1"/>
        <v>0</v>
      </c>
      <c r="BB28" s="13"/>
      <c r="BC28" s="25"/>
      <c r="BD28" s="13"/>
      <c r="BE28" s="295"/>
      <c r="BF28" s="446"/>
      <c r="BG28" s="295"/>
      <c r="BH28" s="446"/>
      <c r="BI28" s="295"/>
      <c r="BJ28" s="446"/>
      <c r="BK28" s="295"/>
      <c r="BL28" s="448"/>
      <c r="BM28" s="295"/>
      <c r="BN28" s="446"/>
      <c r="BO28" s="317">
        <f t="shared" si="5"/>
        <v>1211538.4615384615</v>
      </c>
      <c r="BP28" s="449">
        <f>'Danh muc'!$X28</f>
        <v>682500</v>
      </c>
      <c r="BQ28" s="322"/>
      <c r="BR28" s="449"/>
      <c r="BS28" s="322"/>
      <c r="BT28" s="449">
        <f>'Danh muc'!N28*0.5%</f>
        <v>32500</v>
      </c>
      <c r="BU28" s="322"/>
      <c r="BV28" s="319">
        <f>' Bảng nhập công'!DE28</f>
        <v>0</v>
      </c>
      <c r="BW28" s="27"/>
      <c r="BX28" s="320">
        <f>' Bảng nhập công'!DF28</f>
        <v>0</v>
      </c>
      <c r="BY28" s="27"/>
      <c r="BZ28" s="320"/>
      <c r="CA28" s="27"/>
      <c r="CB28" s="320"/>
      <c r="CC28" s="27"/>
      <c r="CD28" s="450"/>
      <c r="CE28" s="27"/>
      <c r="CF28" s="321">
        <f t="shared" si="6"/>
        <v>496000</v>
      </c>
      <c r="CG28" s="11" t="s">
        <v>131</v>
      </c>
      <c r="CH28" s="27">
        <f>'Danh muc'!$W28</f>
        <v>1397500</v>
      </c>
      <c r="CI28" s="280"/>
    </row>
    <row r="29" spans="1:87" s="1" customFormat="1" ht="19.5" customHeight="1">
      <c r="A29" s="12">
        <f>'Danh muc'!A29</f>
        <v>22</v>
      </c>
      <c r="B29" s="6">
        <f>'Danh muc'!B29</f>
        <v>22011800</v>
      </c>
      <c r="C29" s="11" t="str">
        <f>'Danh muc'!C29</f>
        <v>Lê Thị Kim Chi</v>
      </c>
      <c r="D29" s="12" t="str">
        <f>'Danh muc'!E29</f>
        <v>Ngoại Quan</v>
      </c>
      <c r="E29" s="13">
        <f>' Bảng nhập công'!$H29</f>
        <v>0</v>
      </c>
      <c r="F29" s="13">
        <f>$E29*'Danh muc'!$H29</f>
        <v>0</v>
      </c>
      <c r="G29" s="13">
        <f>'Danh muc'!J29</f>
        <v>0</v>
      </c>
      <c r="H29" s="13"/>
      <c r="I29" s="13">
        <f>$H29*'Danh muc'!$I29</f>
        <v>0</v>
      </c>
      <c r="J29" s="13"/>
      <c r="K29" s="13">
        <f>' Bảng nhập công'!J29</f>
        <v>0</v>
      </c>
      <c r="L29" s="13">
        <f>'Danh muc'!L29*'Bảng tính toán'!K29</f>
        <v>0</v>
      </c>
      <c r="M29" s="13"/>
      <c r="N29" s="13"/>
      <c r="O29" s="13">
        <f>'Danh muc'!$M29/26*' Bảng nhập công'!H29</f>
        <v>0</v>
      </c>
      <c r="P29" s="13"/>
      <c r="Q29" s="316">
        <f>IF((' Bảng nhập công'!$E29+' Bảng nhập công'!$F29)&gt;='Bảng tính toán'!$Q$6,'Bảng tính toán'!$Q$6,(' Bảng nhập công'!$E29+' Bảng nhập công'!$F29))</f>
        <v>0</v>
      </c>
      <c r="R29" s="25">
        <f>$Q29*'Danh muc'!$O29</f>
        <v>0</v>
      </c>
      <c r="S29" s="25">
        <f>'Danh muc'!N29</f>
        <v>6100000</v>
      </c>
      <c r="T29" s="22">
        <f>' Bảng nhập công'!DE29+' Bảng nhập công'!DF29</f>
        <v>0</v>
      </c>
      <c r="U29" s="25">
        <f>IF(OR(' Bảng nhập công'!DE29&gt;=3,' Bảng nhập công'!DF29&gt;=2),0,IF(OR(' Bảng nhập công'!DE29=2,' Bảng nhập công'!DF29=1),('Danh muc'!Q29/2),'Danh muc'!Q29))</f>
        <v>500000</v>
      </c>
      <c r="V29" s="22"/>
      <c r="W29" s="22">
        <f t="shared" si="2"/>
        <v>0</v>
      </c>
      <c r="X29" s="316"/>
      <c r="Y29" s="22"/>
      <c r="Z29" s="22">
        <f t="shared" si="3"/>
        <v>0</v>
      </c>
      <c r="AA29" s="25">
        <f t="shared" si="4"/>
        <v>423076.92307692312</v>
      </c>
      <c r="AB29" s="13">
        <f>'Danh muc'!S29</f>
        <v>550000</v>
      </c>
      <c r="AC29" s="22">
        <f>IF(' Bảng nhập công'!E29&gt;'Bảng tính toán'!$Q$4,(' Bảng nhập công'!E29-'Bảng tính toán'!$Q$4),0)+' Bảng nhập công'!G29</f>
        <v>0</v>
      </c>
      <c r="AD29" s="229">
        <f>AC29*'Danh muc'!P29</f>
        <v>0</v>
      </c>
      <c r="AE29" s="23"/>
      <c r="AF29" s="22">
        <f>' Bảng nhập công'!$K29</f>
        <v>0</v>
      </c>
      <c r="AG29" s="229">
        <f>$AF29*'Danh muc'!$V29</f>
        <v>0</v>
      </c>
      <c r="AH29" s="23"/>
      <c r="AI29" s="23">
        <f>' Bảng nhập công'!$L29</f>
        <v>0</v>
      </c>
      <c r="AJ29" s="25">
        <f>$AI29*'Danh muc'!$U29</f>
        <v>0</v>
      </c>
      <c r="AK29" s="13"/>
      <c r="AL29" s="23">
        <f>' Bảng nhập công'!$M29</f>
        <v>0</v>
      </c>
      <c r="AM29" s="229">
        <f>$AL29*'Danh muc'!$T29</f>
        <v>0</v>
      </c>
      <c r="AN29" s="23"/>
      <c r="AO29" s="24">
        <f>' Bảng nhập công'!$DC29</f>
        <v>0</v>
      </c>
      <c r="AP29" s="230">
        <f>$AO29*'Danh muc'!$O29*8</f>
        <v>0</v>
      </c>
      <c r="AQ29" s="445"/>
      <c r="AR29" s="13">
        <f>' Bảng nhập công'!$DD29</f>
        <v>1</v>
      </c>
      <c r="AS29" s="25">
        <f>$AR29*'Danh muc'!$O29*8</f>
        <v>234615.38461538462</v>
      </c>
      <c r="AT29" s="13"/>
      <c r="AU29" s="13"/>
      <c r="AV29" s="13"/>
      <c r="AW29" s="25">
        <f t="shared" si="0"/>
        <v>0</v>
      </c>
      <c r="AX29" s="13"/>
      <c r="AY29" s="13"/>
      <c r="AZ29" s="25"/>
      <c r="BA29" s="25">
        <f t="shared" si="1"/>
        <v>0</v>
      </c>
      <c r="BB29" s="13"/>
      <c r="BC29" s="25"/>
      <c r="BD29" s="13"/>
      <c r="BE29" s="295"/>
      <c r="BF29" s="446"/>
      <c r="BG29" s="295"/>
      <c r="BH29" s="446"/>
      <c r="BI29" s="295"/>
      <c r="BJ29" s="446"/>
      <c r="BK29" s="295"/>
      <c r="BL29" s="448"/>
      <c r="BM29" s="295"/>
      <c r="BN29" s="446"/>
      <c r="BO29" s="317">
        <f t="shared" si="5"/>
        <v>1157692.3076923077</v>
      </c>
      <c r="BP29" s="449">
        <f>'Danh muc'!$X29</f>
        <v>640500</v>
      </c>
      <c r="BQ29" s="322"/>
      <c r="BR29" s="449"/>
      <c r="BS29" s="322"/>
      <c r="BT29" s="449">
        <f>'Danh muc'!N29*0.5%</f>
        <v>30500</v>
      </c>
      <c r="BU29" s="322"/>
      <c r="BV29" s="319">
        <f>' Bảng nhập công'!DE29</f>
        <v>0</v>
      </c>
      <c r="BW29" s="27"/>
      <c r="BX29" s="320">
        <f>' Bảng nhập công'!DF29</f>
        <v>0</v>
      </c>
      <c r="BY29" s="27"/>
      <c r="BZ29" s="320"/>
      <c r="CA29" s="27"/>
      <c r="CB29" s="320"/>
      <c r="CC29" s="27"/>
      <c r="CD29" s="450"/>
      <c r="CE29" s="27"/>
      <c r="CF29" s="321">
        <f t="shared" si="6"/>
        <v>486000</v>
      </c>
      <c r="CG29" s="11" t="s">
        <v>131</v>
      </c>
      <c r="CH29" s="27">
        <f>'Danh muc'!$W29</f>
        <v>1311500</v>
      </c>
      <c r="CI29" s="280"/>
    </row>
    <row r="30" spans="1:87" s="1" customFormat="1" ht="19.5" customHeight="1">
      <c r="A30" s="12">
        <f>'Danh muc'!A30</f>
        <v>23</v>
      </c>
      <c r="B30" s="6">
        <f>'Danh muc'!B30</f>
        <v>22050900</v>
      </c>
      <c r="C30" s="11" t="str">
        <f>'Danh muc'!C30</f>
        <v>Nguyễn Thị Diễm Mi</v>
      </c>
      <c r="D30" s="12" t="str">
        <f>'Danh muc'!E30</f>
        <v>Ngoại Quan</v>
      </c>
      <c r="E30" s="13">
        <f>' Bảng nhập công'!$H30</f>
        <v>0</v>
      </c>
      <c r="F30" s="13">
        <f>$E30*'Danh muc'!$H30</f>
        <v>0</v>
      </c>
      <c r="G30" s="13">
        <f>'Danh muc'!J30</f>
        <v>0</v>
      </c>
      <c r="H30" s="13">
        <f>' Bảng nhập công'!$L30</f>
        <v>0</v>
      </c>
      <c r="I30" s="13">
        <f>$H30*'Danh muc'!$I30</f>
        <v>0</v>
      </c>
      <c r="J30" s="13"/>
      <c r="K30" s="13">
        <f>' Bảng nhập công'!J30</f>
        <v>0</v>
      </c>
      <c r="L30" s="13">
        <f>'Danh muc'!L30*'Bảng tính toán'!K30</f>
        <v>0</v>
      </c>
      <c r="M30" s="13"/>
      <c r="N30" s="13"/>
      <c r="O30" s="13">
        <f>'Danh muc'!$M30/26*' Bảng nhập công'!H30</f>
        <v>0</v>
      </c>
      <c r="P30" s="13"/>
      <c r="Q30" s="316">
        <f>IF((' Bảng nhập công'!$E30+' Bảng nhập công'!$F30)&gt;='Bảng tính toán'!$Q$6,'Bảng tính toán'!$Q$6,(' Bảng nhập công'!$E30+' Bảng nhập công'!$F30))</f>
        <v>0</v>
      </c>
      <c r="R30" s="25">
        <f>$Q30*'Danh muc'!$O30</f>
        <v>0</v>
      </c>
      <c r="S30" s="25">
        <f>'Danh muc'!N30</f>
        <v>6000000</v>
      </c>
      <c r="T30" s="22">
        <f>' Bảng nhập công'!DE30+' Bảng nhập công'!DF30</f>
        <v>0</v>
      </c>
      <c r="U30" s="25">
        <f>IF(OR(' Bảng nhập công'!DE30&gt;=3,' Bảng nhập công'!DF30&gt;=2),0,IF(OR(' Bảng nhập công'!DE30=2,' Bảng nhập công'!DF30=1),('Danh muc'!Q30/2),'Danh muc'!Q30))</f>
        <v>500000</v>
      </c>
      <c r="V30" s="22"/>
      <c r="W30" s="22">
        <f t="shared" si="2"/>
        <v>0</v>
      </c>
      <c r="X30" s="316"/>
      <c r="Y30" s="22"/>
      <c r="Z30" s="22">
        <f t="shared" si="3"/>
        <v>0</v>
      </c>
      <c r="AA30" s="25">
        <f t="shared" si="4"/>
        <v>269230.76923076925</v>
      </c>
      <c r="AB30" s="13">
        <f>'Danh muc'!S30</f>
        <v>350000</v>
      </c>
      <c r="AC30" s="22">
        <f>IF((' Bảng nhập công'!E30+' Bảng nhập công'!F30)&gt;'Bảng tính toán'!$Q$6,(' Bảng nhập công'!E30+' Bảng nhập công'!F30-'Bảng tính toán'!$Q$6),0)+' Bảng nhập công'!G30</f>
        <v>0</v>
      </c>
      <c r="AD30" s="229">
        <f>AC30*'Danh muc'!P30</f>
        <v>0</v>
      </c>
      <c r="AE30" s="23"/>
      <c r="AF30" s="22">
        <f>' Bảng nhập công'!$K30</f>
        <v>0</v>
      </c>
      <c r="AG30" s="229">
        <f>$AF30*'Danh muc'!$V30</f>
        <v>0</v>
      </c>
      <c r="AH30" s="23"/>
      <c r="AI30" s="23">
        <f>' Bảng nhập công'!$L30</f>
        <v>0</v>
      </c>
      <c r="AJ30" s="25">
        <f>$AI30*'Danh muc'!$U30</f>
        <v>0</v>
      </c>
      <c r="AK30" s="13"/>
      <c r="AL30" s="23">
        <f>' Bảng nhập công'!$M30</f>
        <v>0</v>
      </c>
      <c r="AM30" s="229">
        <f>$AL30*'Danh muc'!$T30</f>
        <v>0</v>
      </c>
      <c r="AN30" s="23"/>
      <c r="AO30" s="24">
        <f>' Bảng nhập công'!$DC30</f>
        <v>0</v>
      </c>
      <c r="AP30" s="230">
        <f>$AO30*'Danh muc'!$O30*8</f>
        <v>0</v>
      </c>
      <c r="AQ30" s="445"/>
      <c r="AR30" s="13">
        <f>' Bảng nhập công'!$DD30</f>
        <v>1</v>
      </c>
      <c r="AS30" s="25">
        <f>$AR30*'Danh muc'!$O30*8</f>
        <v>230769.23076923078</v>
      </c>
      <c r="AT30" s="13"/>
      <c r="AU30" s="22"/>
      <c r="AV30" s="13"/>
      <c r="AW30" s="25">
        <f t="shared" si="0"/>
        <v>0</v>
      </c>
      <c r="AX30" s="13"/>
      <c r="AY30" s="13"/>
      <c r="AZ30" s="25"/>
      <c r="BA30" s="25">
        <f t="shared" si="1"/>
        <v>0</v>
      </c>
      <c r="BB30" s="13"/>
      <c r="BC30" s="25"/>
      <c r="BD30" s="13"/>
      <c r="BE30" s="295"/>
      <c r="BF30" s="446"/>
      <c r="BG30" s="295"/>
      <c r="BH30" s="446"/>
      <c r="BI30" s="295"/>
      <c r="BJ30" s="446"/>
      <c r="BK30" s="295"/>
      <c r="BL30" s="448"/>
      <c r="BM30" s="295"/>
      <c r="BN30" s="446"/>
      <c r="BO30" s="317">
        <f t="shared" si="5"/>
        <v>1000000</v>
      </c>
      <c r="BP30" s="449">
        <f>'Danh muc'!$X30</f>
        <v>630000</v>
      </c>
      <c r="BQ30" s="322"/>
      <c r="BR30" s="449"/>
      <c r="BS30" s="322"/>
      <c r="BT30" s="449">
        <f>'Danh muc'!N30*0.5%</f>
        <v>30000</v>
      </c>
      <c r="BU30" s="322"/>
      <c r="BV30" s="319">
        <f>' Bảng nhập công'!DE30</f>
        <v>0</v>
      </c>
      <c r="BW30" s="27"/>
      <c r="BX30" s="320">
        <f>' Bảng nhập công'!DF30</f>
        <v>0</v>
      </c>
      <c r="BY30" s="27"/>
      <c r="BZ30" s="320"/>
      <c r="CA30" s="27"/>
      <c r="CB30" s="320"/>
      <c r="CC30" s="27"/>
      <c r="CD30" s="450"/>
      <c r="CE30" s="27"/>
      <c r="CF30" s="321">
        <f t="shared" si="6"/>
        <v>340000</v>
      </c>
      <c r="CG30" s="11" t="s">
        <v>131</v>
      </c>
      <c r="CH30" s="27">
        <f>'Danh muc'!$W30</f>
        <v>1290000</v>
      </c>
      <c r="CI30" s="280"/>
    </row>
    <row r="31" spans="1:87" s="1" customFormat="1" ht="19.5" customHeight="1">
      <c r="A31" s="12">
        <f>'Danh muc'!A31</f>
        <v>24</v>
      </c>
      <c r="B31" s="6">
        <f>'Danh muc'!B31</f>
        <v>22111800</v>
      </c>
      <c r="C31" s="11" t="str">
        <f>'Danh muc'!C31</f>
        <v>Lê Thị Kim Thoa</v>
      </c>
      <c r="D31" s="12" t="str">
        <f>'Danh muc'!E31</f>
        <v>Ngoại Quan</v>
      </c>
      <c r="E31" s="13">
        <f>' Bảng nhập công'!$H31</f>
        <v>0</v>
      </c>
      <c r="F31" s="13">
        <f>$E31*'Danh muc'!$H31</f>
        <v>0</v>
      </c>
      <c r="G31" s="13">
        <f>'Danh muc'!J31</f>
        <v>0</v>
      </c>
      <c r="H31" s="13">
        <f>' Bảng nhập công'!$L31</f>
        <v>0</v>
      </c>
      <c r="I31" s="13">
        <f>$H31*'Danh muc'!$I31</f>
        <v>0</v>
      </c>
      <c r="J31" s="13"/>
      <c r="K31" s="13">
        <f>' Bảng nhập công'!J31</f>
        <v>0</v>
      </c>
      <c r="L31" s="13">
        <f>'Danh muc'!L31*'Bảng tính toán'!K31</f>
        <v>0</v>
      </c>
      <c r="M31" s="13"/>
      <c r="N31" s="13"/>
      <c r="O31" s="13">
        <f>'Danh muc'!$M31/26*' Bảng nhập công'!H31</f>
        <v>0</v>
      </c>
      <c r="P31" s="13"/>
      <c r="Q31" s="316">
        <f>IF((' Bảng nhập công'!$E31+' Bảng nhập công'!$F31)&gt;='Bảng tính toán'!$Q$6,'Bảng tính toán'!$Q$6,(' Bảng nhập công'!$E31+' Bảng nhập công'!$F31))</f>
        <v>0</v>
      </c>
      <c r="R31" s="25">
        <f>$Q31*'Danh muc'!$O31</f>
        <v>0</v>
      </c>
      <c r="S31" s="25">
        <f>'Danh muc'!N31</f>
        <v>6000000</v>
      </c>
      <c r="T31" s="22">
        <f>' Bảng nhập công'!DE31+' Bảng nhập công'!DF31</f>
        <v>0</v>
      </c>
      <c r="U31" s="25">
        <f>IF(OR(' Bảng nhập công'!DE31&gt;=3,' Bảng nhập công'!DF31&gt;=2),0,IF(OR(' Bảng nhập công'!DE31=2,' Bảng nhập công'!DF31=1),('Danh muc'!Q31/2),'Danh muc'!Q31))</f>
        <v>500000</v>
      </c>
      <c r="V31" s="22"/>
      <c r="W31" s="22">
        <f t="shared" si="2"/>
        <v>0</v>
      </c>
      <c r="X31" s="316"/>
      <c r="Y31" s="22"/>
      <c r="Z31" s="22">
        <f t="shared" si="3"/>
        <v>0</v>
      </c>
      <c r="AA31" s="25">
        <f t="shared" si="4"/>
        <v>192307.69230769231</v>
      </c>
      <c r="AB31" s="13">
        <f>'Danh muc'!S31</f>
        <v>250000</v>
      </c>
      <c r="AC31" s="22">
        <f>IF((' Bảng nhập công'!E31+' Bảng nhập công'!F31)&gt;'Bảng tính toán'!$Q$6,(' Bảng nhập công'!E31+' Bảng nhập công'!F31-'Bảng tính toán'!$Q$6),0)+' Bảng nhập công'!G31</f>
        <v>0</v>
      </c>
      <c r="AD31" s="229">
        <f>AC31*'Danh muc'!P31</f>
        <v>0</v>
      </c>
      <c r="AE31" s="23"/>
      <c r="AF31" s="22">
        <f>' Bảng nhập công'!$K31</f>
        <v>0</v>
      </c>
      <c r="AG31" s="229">
        <f>$AF31*'Danh muc'!$V31</f>
        <v>0</v>
      </c>
      <c r="AH31" s="23"/>
      <c r="AI31" s="23">
        <f>' Bảng nhập công'!$L31</f>
        <v>0</v>
      </c>
      <c r="AJ31" s="25">
        <f>$AI31*'Danh muc'!$U31</f>
        <v>0</v>
      </c>
      <c r="AK31" s="13"/>
      <c r="AL31" s="23">
        <f>' Bảng nhập công'!$M31</f>
        <v>0</v>
      </c>
      <c r="AM31" s="229">
        <f>$AL31*'Danh muc'!$T31</f>
        <v>0</v>
      </c>
      <c r="AN31" s="23"/>
      <c r="AO31" s="24">
        <f>' Bảng nhập công'!$DC31</f>
        <v>0</v>
      </c>
      <c r="AP31" s="230">
        <f>$AO31*'Danh muc'!$O31*8</f>
        <v>0</v>
      </c>
      <c r="AQ31" s="445"/>
      <c r="AR31" s="13">
        <f>' Bảng nhập công'!$DD31</f>
        <v>1</v>
      </c>
      <c r="AS31" s="25">
        <f>$AR31*'Danh muc'!$O31*8</f>
        <v>230769.23076923078</v>
      </c>
      <c r="AT31" s="13"/>
      <c r="AU31" s="13"/>
      <c r="AV31" s="13"/>
      <c r="AW31" s="25">
        <f t="shared" si="0"/>
        <v>0</v>
      </c>
      <c r="AX31" s="13"/>
      <c r="AY31" s="13"/>
      <c r="AZ31" s="25"/>
      <c r="BA31" s="25">
        <f t="shared" si="1"/>
        <v>0</v>
      </c>
      <c r="BB31" s="13"/>
      <c r="BC31" s="25"/>
      <c r="BD31" s="13"/>
      <c r="BE31" s="295"/>
      <c r="BF31" s="446"/>
      <c r="BG31" s="295"/>
      <c r="BH31" s="446"/>
      <c r="BI31" s="295"/>
      <c r="BJ31" s="446"/>
      <c r="BK31" s="295"/>
      <c r="BL31" s="448"/>
      <c r="BM31" s="295"/>
      <c r="BN31" s="446"/>
      <c r="BO31" s="317">
        <f t="shared" si="5"/>
        <v>923076.92307692301</v>
      </c>
      <c r="BP31" s="449">
        <f>'Danh muc'!$X31</f>
        <v>630000</v>
      </c>
      <c r="BQ31" s="322"/>
      <c r="BR31" s="449"/>
      <c r="BS31" s="322"/>
      <c r="BT31" s="449">
        <f>'Danh muc'!N31*0.5%</f>
        <v>30000</v>
      </c>
      <c r="BU31" s="322"/>
      <c r="BV31" s="319">
        <f>' Bảng nhập công'!DE31</f>
        <v>0</v>
      </c>
      <c r="BW31" s="27"/>
      <c r="BX31" s="320">
        <f>' Bảng nhập công'!DF31</f>
        <v>0</v>
      </c>
      <c r="BY31" s="27"/>
      <c r="BZ31" s="320"/>
      <c r="CA31" s="27"/>
      <c r="CB31" s="320"/>
      <c r="CC31" s="27"/>
      <c r="CD31" s="450"/>
      <c r="CE31" s="27"/>
      <c r="CF31" s="321">
        <f t="shared" si="6"/>
        <v>263000</v>
      </c>
      <c r="CG31" s="11" t="s">
        <v>131</v>
      </c>
      <c r="CH31" s="27">
        <f>'Danh muc'!$W31</f>
        <v>1290000</v>
      </c>
      <c r="CI31" s="280"/>
    </row>
    <row r="32" spans="1:87" s="1" customFormat="1" ht="19.5" customHeight="1">
      <c r="A32" s="12">
        <f>'Danh muc'!A32</f>
        <v>25</v>
      </c>
      <c r="B32" s="6">
        <f>'Danh muc'!B32</f>
        <v>24100100</v>
      </c>
      <c r="C32" s="11" t="str">
        <f>'Danh muc'!C32</f>
        <v>Hồ Thị Du</v>
      </c>
      <c r="D32" s="12" t="str">
        <f>'Danh muc'!E32</f>
        <v>Ngoại Quan</v>
      </c>
      <c r="E32" s="13">
        <f>' Bảng nhập công'!$H32</f>
        <v>0</v>
      </c>
      <c r="F32" s="13">
        <f>$E32*'Danh muc'!$H32</f>
        <v>0</v>
      </c>
      <c r="G32" s="13">
        <f>'Danh muc'!J32</f>
        <v>0</v>
      </c>
      <c r="H32" s="13">
        <f>' Bảng nhập công'!$L32</f>
        <v>0</v>
      </c>
      <c r="I32" s="13">
        <f>$H32*'Danh muc'!$I32</f>
        <v>0</v>
      </c>
      <c r="J32" s="13"/>
      <c r="K32" s="13">
        <f>' Bảng nhập công'!J32</f>
        <v>0</v>
      </c>
      <c r="L32" s="13">
        <f>'Danh muc'!L32*'Bảng tính toán'!K32</f>
        <v>0</v>
      </c>
      <c r="M32" s="13"/>
      <c r="N32" s="13"/>
      <c r="O32" s="13">
        <f>'Danh muc'!$M32/26*' Bảng nhập công'!H32</f>
        <v>0</v>
      </c>
      <c r="P32" s="13"/>
      <c r="Q32" s="316">
        <f>IF((' Bảng nhập công'!$E32+' Bảng nhập công'!$F32)&gt;='Bảng tính toán'!$Q$6,'Bảng tính toán'!$Q$6,(' Bảng nhập công'!$E32+' Bảng nhập công'!$F32))</f>
        <v>0</v>
      </c>
      <c r="R32" s="25">
        <f>$Q32*'Danh muc'!$O32</f>
        <v>0</v>
      </c>
      <c r="S32" s="25">
        <f>'Danh muc'!N32</f>
        <v>5700000</v>
      </c>
      <c r="T32" s="22">
        <f>' Bảng nhập công'!DE32+' Bảng nhập công'!DF32</f>
        <v>0</v>
      </c>
      <c r="U32" s="25">
        <f>IF(OR(' Bảng nhập công'!DE32&gt;=3,' Bảng nhập công'!DF32&gt;=2),0,IF(OR(' Bảng nhập công'!DE32=2,' Bảng nhập công'!DF32=1),('Danh muc'!Q32/2),'Danh muc'!Q32))</f>
        <v>500000</v>
      </c>
      <c r="V32" s="22"/>
      <c r="W32" s="22">
        <f t="shared" si="2"/>
        <v>0</v>
      </c>
      <c r="X32" s="316"/>
      <c r="Y32" s="22"/>
      <c r="Z32" s="22">
        <f t="shared" si="3"/>
        <v>0</v>
      </c>
      <c r="AA32" s="25">
        <f t="shared" si="4"/>
        <v>76923.076923076922</v>
      </c>
      <c r="AB32" s="13">
        <f>'Danh muc'!S32</f>
        <v>100000</v>
      </c>
      <c r="AC32" s="22">
        <f>IF((' Bảng nhập công'!E32+' Bảng nhập công'!F32)&gt;'Bảng tính toán'!$Q$6,(' Bảng nhập công'!E32+' Bảng nhập công'!F32-'Bảng tính toán'!$Q$6),0)+' Bảng nhập công'!G32</f>
        <v>0</v>
      </c>
      <c r="AD32" s="229">
        <f>AC32*'Danh muc'!P32</f>
        <v>0</v>
      </c>
      <c r="AE32" s="23"/>
      <c r="AF32" s="22">
        <f>' Bảng nhập công'!$K32</f>
        <v>0</v>
      </c>
      <c r="AG32" s="229">
        <f>$AF32*'Danh muc'!$V32</f>
        <v>0</v>
      </c>
      <c r="AH32" s="23"/>
      <c r="AI32" s="23">
        <f>' Bảng nhập công'!$L32</f>
        <v>0</v>
      </c>
      <c r="AJ32" s="25">
        <f>$AI32*'Danh muc'!$U32</f>
        <v>0</v>
      </c>
      <c r="AK32" s="13"/>
      <c r="AL32" s="23">
        <f>' Bảng nhập công'!$M32</f>
        <v>0</v>
      </c>
      <c r="AM32" s="229">
        <f>$AL32*'Danh muc'!$T32</f>
        <v>0</v>
      </c>
      <c r="AN32" s="23"/>
      <c r="AO32" s="24">
        <f>' Bảng nhập công'!$DC32</f>
        <v>0</v>
      </c>
      <c r="AP32" s="230">
        <f>$AO32*'Danh muc'!$O32*8</f>
        <v>0</v>
      </c>
      <c r="AQ32" s="445"/>
      <c r="AR32" s="13">
        <f>' Bảng nhập công'!$DD32</f>
        <v>1</v>
      </c>
      <c r="AS32" s="25">
        <f>$AR32*'Danh muc'!$O32*8</f>
        <v>219230.76923076922</v>
      </c>
      <c r="AT32" s="13"/>
      <c r="AU32" s="13"/>
      <c r="AV32" s="13"/>
      <c r="AW32" s="25">
        <f t="shared" si="0"/>
        <v>0</v>
      </c>
      <c r="AX32" s="13"/>
      <c r="AY32" s="13"/>
      <c r="AZ32" s="25"/>
      <c r="BA32" s="25">
        <f t="shared" si="1"/>
        <v>0</v>
      </c>
      <c r="BB32" s="13"/>
      <c r="BC32" s="25"/>
      <c r="BD32" s="13"/>
      <c r="BE32" s="295"/>
      <c r="BF32" s="446"/>
      <c r="BG32" s="295"/>
      <c r="BH32" s="446"/>
      <c r="BI32" s="295"/>
      <c r="BJ32" s="446"/>
      <c r="BK32" s="295"/>
      <c r="BL32" s="448"/>
      <c r="BM32" s="295"/>
      <c r="BN32" s="446"/>
      <c r="BO32" s="317">
        <f t="shared" si="5"/>
        <v>796153.84615384613</v>
      </c>
      <c r="BP32" s="449">
        <f>'Danh muc'!$X32</f>
        <v>598500</v>
      </c>
      <c r="BQ32" s="322"/>
      <c r="BR32" s="449"/>
      <c r="BS32" s="322"/>
      <c r="BT32" s="449">
        <f>'Danh muc'!N32*0.5%</f>
        <v>28500</v>
      </c>
      <c r="BU32" s="322"/>
      <c r="BV32" s="319">
        <f>' Bảng nhập công'!DE32</f>
        <v>0</v>
      </c>
      <c r="BW32" s="27"/>
      <c r="BX32" s="320">
        <f>' Bảng nhập công'!DF32</f>
        <v>0</v>
      </c>
      <c r="BY32" s="27"/>
      <c r="BZ32" s="320"/>
      <c r="CA32" s="27"/>
      <c r="CB32" s="320"/>
      <c r="CC32" s="27"/>
      <c r="CD32" s="450"/>
      <c r="CE32" s="27"/>
      <c r="CF32" s="321">
        <f t="shared" si="6"/>
        <v>169000</v>
      </c>
      <c r="CG32" s="11" t="s">
        <v>131</v>
      </c>
      <c r="CH32" s="27">
        <f>'Danh muc'!$W32</f>
        <v>1225500</v>
      </c>
      <c r="CI32" s="280"/>
    </row>
    <row r="33" spans="1:87" s="1" customFormat="1" ht="19.5" customHeight="1">
      <c r="A33" s="12">
        <f>'Danh muc'!A33</f>
        <v>26</v>
      </c>
      <c r="B33" s="6">
        <f>'Danh muc'!B33</f>
        <v>22050901</v>
      </c>
      <c r="C33" s="11" t="str">
        <f>'Danh muc'!C33</f>
        <v>Phạm Thị Kim Huệ</v>
      </c>
      <c r="D33" s="12" t="str">
        <f>'Danh muc'!E33</f>
        <v>Ngoại Quan</v>
      </c>
      <c r="E33" s="13">
        <f>' Bảng nhập công'!$H33</f>
        <v>0</v>
      </c>
      <c r="F33" s="13">
        <f>$E33*'Danh muc'!$H33</f>
        <v>0</v>
      </c>
      <c r="G33" s="13">
        <f>'Danh muc'!J33</f>
        <v>0</v>
      </c>
      <c r="H33" s="13"/>
      <c r="I33" s="13">
        <f>$H33*'Danh muc'!$I33</f>
        <v>0</v>
      </c>
      <c r="J33" s="13"/>
      <c r="K33" s="13">
        <f>' Bảng nhập công'!J33</f>
        <v>0</v>
      </c>
      <c r="L33" s="13">
        <f>'Danh muc'!L33*'Bảng tính toán'!K33</f>
        <v>0</v>
      </c>
      <c r="M33" s="13"/>
      <c r="N33" s="13"/>
      <c r="O33" s="13">
        <f>'Danh muc'!$M33/26*' Bảng nhập công'!H33</f>
        <v>0</v>
      </c>
      <c r="P33" s="13"/>
      <c r="Q33" s="316">
        <f>IF((' Bảng nhập công'!$E33+' Bảng nhập công'!$F33)&gt;='Bảng tính toán'!$Q$6,'Bảng tính toán'!$Q$6,(' Bảng nhập công'!$E33+' Bảng nhập công'!$F33))</f>
        <v>0</v>
      </c>
      <c r="R33" s="25">
        <f>$Q33*'Danh muc'!$O33</f>
        <v>0</v>
      </c>
      <c r="S33" s="25">
        <f>'Danh muc'!N33</f>
        <v>5700000</v>
      </c>
      <c r="T33" s="22">
        <f>' Bảng nhập công'!DE33+' Bảng nhập công'!DF33</f>
        <v>0</v>
      </c>
      <c r="U33" s="25">
        <f>IF(OR(' Bảng nhập công'!DE33&gt;=3,' Bảng nhập công'!DF33&gt;=2),0,IF(OR(' Bảng nhập công'!DE33=2,' Bảng nhập công'!DF33=1),('Danh muc'!Q33/2),'Danh muc'!Q33))</f>
        <v>500000</v>
      </c>
      <c r="V33" s="22"/>
      <c r="W33" s="22">
        <f t="shared" si="2"/>
        <v>0</v>
      </c>
      <c r="X33" s="316"/>
      <c r="Y33" s="22"/>
      <c r="Z33" s="22">
        <f t="shared" si="3"/>
        <v>0</v>
      </c>
      <c r="AA33" s="25">
        <f t="shared" si="4"/>
        <v>269230.76923076925</v>
      </c>
      <c r="AB33" s="13">
        <f>'Danh muc'!S33</f>
        <v>350000</v>
      </c>
      <c r="AC33" s="22">
        <f>IF((' Bảng nhập công'!E33+' Bảng nhập công'!F33)&gt;'Bảng tính toán'!$Q$6,(' Bảng nhập công'!E33+' Bảng nhập công'!F33-'Bảng tính toán'!$Q$6),0)+' Bảng nhập công'!G33</f>
        <v>0</v>
      </c>
      <c r="AD33" s="229">
        <f>AC33*'Danh muc'!P33</f>
        <v>0</v>
      </c>
      <c r="AE33" s="23"/>
      <c r="AF33" s="22">
        <f>' Bảng nhập công'!$K33</f>
        <v>0</v>
      </c>
      <c r="AG33" s="229">
        <f>$AF33*'Danh muc'!$V33</f>
        <v>0</v>
      </c>
      <c r="AH33" s="23"/>
      <c r="AI33" s="23">
        <f>' Bảng nhập công'!$L33</f>
        <v>0</v>
      </c>
      <c r="AJ33" s="25">
        <f>$AI33*'Danh muc'!$U33</f>
        <v>0</v>
      </c>
      <c r="AK33" s="13"/>
      <c r="AL33" s="23">
        <f>' Bảng nhập công'!$M33</f>
        <v>0</v>
      </c>
      <c r="AM33" s="229">
        <f>$AL33*'Danh muc'!$T33</f>
        <v>0</v>
      </c>
      <c r="AN33" s="23"/>
      <c r="AO33" s="24">
        <f>' Bảng nhập công'!$DC33</f>
        <v>0</v>
      </c>
      <c r="AP33" s="230">
        <f>$AO33*'Danh muc'!$O33*8</f>
        <v>0</v>
      </c>
      <c r="AQ33" s="445"/>
      <c r="AR33" s="13">
        <f>' Bảng nhập công'!$DD33</f>
        <v>1</v>
      </c>
      <c r="AS33" s="25">
        <f>$AR33*'Danh muc'!$O33*8</f>
        <v>219230.76923076922</v>
      </c>
      <c r="AT33" s="13"/>
      <c r="AU33" s="22"/>
      <c r="AV33" s="13"/>
      <c r="AW33" s="25">
        <f t="shared" si="0"/>
        <v>0</v>
      </c>
      <c r="AX33" s="13"/>
      <c r="AY33" s="13"/>
      <c r="AZ33" s="25"/>
      <c r="BA33" s="25">
        <f t="shared" si="1"/>
        <v>0</v>
      </c>
      <c r="BB33" s="13"/>
      <c r="BC33" s="25"/>
      <c r="BD33" s="13"/>
      <c r="BE33" s="295"/>
      <c r="BF33" s="446"/>
      <c r="BG33" s="295"/>
      <c r="BH33" s="446"/>
      <c r="BI33" s="295"/>
      <c r="BJ33" s="446"/>
      <c r="BK33" s="295"/>
      <c r="BL33" s="448"/>
      <c r="BM33" s="295"/>
      <c r="BN33" s="446"/>
      <c r="BO33" s="317">
        <f t="shared" si="5"/>
        <v>988461.5384615385</v>
      </c>
      <c r="BP33" s="449">
        <f>'Danh muc'!$X33</f>
        <v>598500</v>
      </c>
      <c r="BQ33" s="322"/>
      <c r="BR33" s="449"/>
      <c r="BS33" s="322"/>
      <c r="BT33" s="449">
        <f>'Danh muc'!N33*0.5%</f>
        <v>28500</v>
      </c>
      <c r="BU33" s="322"/>
      <c r="BV33" s="319">
        <f>' Bảng nhập công'!DE33</f>
        <v>0</v>
      </c>
      <c r="BW33" s="27"/>
      <c r="BX33" s="320">
        <f>' Bảng nhập công'!DF33</f>
        <v>0</v>
      </c>
      <c r="BY33" s="27"/>
      <c r="BZ33" s="320"/>
      <c r="CA33" s="27"/>
      <c r="CB33" s="320"/>
      <c r="CC33" s="27"/>
      <c r="CD33" s="450"/>
      <c r="CE33" s="27"/>
      <c r="CF33" s="321">
        <f t="shared" si="6"/>
        <v>361000</v>
      </c>
      <c r="CG33" s="11" t="s">
        <v>131</v>
      </c>
      <c r="CH33" s="27">
        <f>'Danh muc'!$W33</f>
        <v>1225500</v>
      </c>
      <c r="CI33" s="280"/>
    </row>
    <row r="34" spans="1:87" s="1" customFormat="1" ht="19.5" customHeight="1">
      <c r="A34" s="12">
        <f>'Danh muc'!A34</f>
        <v>27</v>
      </c>
      <c r="B34" s="6">
        <f>'Danh muc'!B34</f>
        <v>22060900</v>
      </c>
      <c r="C34" s="11" t="str">
        <f>'Danh muc'!C34</f>
        <v>Đoàn Hữu Duy Linh</v>
      </c>
      <c r="D34" s="12" t="str">
        <f>'Danh muc'!E34</f>
        <v>Ngoại Quan</v>
      </c>
      <c r="E34" s="13">
        <f>' Bảng nhập công'!$H34</f>
        <v>0</v>
      </c>
      <c r="F34" s="13">
        <f>$E34*'Danh muc'!$H34</f>
        <v>0</v>
      </c>
      <c r="G34" s="13">
        <f>'Danh muc'!J34</f>
        <v>0</v>
      </c>
      <c r="H34" s="13">
        <f>' Bảng nhập công'!$L34</f>
        <v>0</v>
      </c>
      <c r="I34" s="13">
        <f>$H34*'Danh muc'!$I34</f>
        <v>0</v>
      </c>
      <c r="J34" s="13"/>
      <c r="K34" s="13">
        <f>' Bảng nhập công'!J34</f>
        <v>0</v>
      </c>
      <c r="L34" s="13">
        <f>'Danh muc'!L34*'Bảng tính toán'!K34</f>
        <v>0</v>
      </c>
      <c r="M34" s="13"/>
      <c r="N34" s="13"/>
      <c r="O34" s="13">
        <f>'Danh muc'!$M34/26*' Bảng nhập công'!H34</f>
        <v>0</v>
      </c>
      <c r="P34" s="13"/>
      <c r="Q34" s="316">
        <f>IF((' Bảng nhập công'!$E34+' Bảng nhập công'!$F34)&gt;='Bảng tính toán'!$Q$6,'Bảng tính toán'!$Q$6,(' Bảng nhập công'!$E34+' Bảng nhập công'!$F34))</f>
        <v>0</v>
      </c>
      <c r="R34" s="25">
        <f>$Q34*'Danh muc'!$O34</f>
        <v>0</v>
      </c>
      <c r="S34" s="25">
        <f>'Danh muc'!N34</f>
        <v>5800000</v>
      </c>
      <c r="T34" s="22">
        <f>' Bảng nhập công'!DE34+' Bảng nhập công'!DF34</f>
        <v>0</v>
      </c>
      <c r="U34" s="25">
        <f>IF(OR(' Bảng nhập công'!DE34&gt;=3,' Bảng nhập công'!DF34&gt;=2),0,IF(OR(' Bảng nhập công'!DE34=2,' Bảng nhập công'!DF34=1),('Danh muc'!Q34/2),'Danh muc'!Q34))</f>
        <v>500000</v>
      </c>
      <c r="V34" s="22"/>
      <c r="W34" s="22">
        <f t="shared" si="2"/>
        <v>0</v>
      </c>
      <c r="X34" s="316"/>
      <c r="Y34" s="22"/>
      <c r="Z34" s="22">
        <f t="shared" si="3"/>
        <v>0</v>
      </c>
      <c r="AA34" s="25">
        <f t="shared" si="4"/>
        <v>269230.76923076925</v>
      </c>
      <c r="AB34" s="13">
        <f>'Danh muc'!S34</f>
        <v>350000</v>
      </c>
      <c r="AC34" s="22">
        <f>IF(' Bảng nhập công'!E34&gt;'Bảng tính toán'!$Q$4,(' Bảng nhập công'!E34-'Bảng tính toán'!$Q$4),0)+' Bảng nhập công'!G34</f>
        <v>0</v>
      </c>
      <c r="AD34" s="229">
        <f>AC34*'Danh muc'!P34</f>
        <v>0</v>
      </c>
      <c r="AE34" s="23"/>
      <c r="AF34" s="22">
        <f>' Bảng nhập công'!$K34</f>
        <v>0</v>
      </c>
      <c r="AG34" s="229">
        <f>$AF34*'Danh muc'!$V34</f>
        <v>0</v>
      </c>
      <c r="AH34" s="23"/>
      <c r="AI34" s="23">
        <f>' Bảng nhập công'!$L34</f>
        <v>0</v>
      </c>
      <c r="AJ34" s="25">
        <f>$AI34*'Danh muc'!$U34</f>
        <v>0</v>
      </c>
      <c r="AK34" s="13"/>
      <c r="AL34" s="23">
        <f>' Bảng nhập công'!$M34</f>
        <v>0</v>
      </c>
      <c r="AM34" s="229">
        <f>$AL34*'Danh muc'!$T34</f>
        <v>0</v>
      </c>
      <c r="AN34" s="23"/>
      <c r="AO34" s="24">
        <f>' Bảng nhập công'!$DC34</f>
        <v>0</v>
      </c>
      <c r="AP34" s="230">
        <f>$AO34*'Danh muc'!$O34*8</f>
        <v>0</v>
      </c>
      <c r="AQ34" s="445"/>
      <c r="AR34" s="13">
        <f>' Bảng nhập công'!$DD34</f>
        <v>1</v>
      </c>
      <c r="AS34" s="25">
        <f>$AR34*'Danh muc'!$O34*8</f>
        <v>223076.92307692306</v>
      </c>
      <c r="AT34" s="13"/>
      <c r="AU34" s="13"/>
      <c r="AV34" s="13"/>
      <c r="AW34" s="25">
        <f t="shared" si="0"/>
        <v>0</v>
      </c>
      <c r="AX34" s="13"/>
      <c r="AY34" s="13"/>
      <c r="AZ34" s="25"/>
      <c r="BA34" s="25">
        <f t="shared" si="1"/>
        <v>0</v>
      </c>
      <c r="BB34" s="13"/>
      <c r="BC34" s="25"/>
      <c r="BD34" s="13"/>
      <c r="BE34" s="295"/>
      <c r="BF34" s="446"/>
      <c r="BG34" s="295"/>
      <c r="BH34" s="446"/>
      <c r="BI34" s="295"/>
      <c r="BJ34" s="446"/>
      <c r="BK34" s="295"/>
      <c r="BL34" s="448"/>
      <c r="BM34" s="295"/>
      <c r="BN34" s="446"/>
      <c r="BO34" s="317">
        <f t="shared" si="5"/>
        <v>992307.69230769225</v>
      </c>
      <c r="BP34" s="449">
        <f>'Danh muc'!$X34</f>
        <v>609000</v>
      </c>
      <c r="BQ34" s="322"/>
      <c r="BR34" s="449"/>
      <c r="BS34" s="322"/>
      <c r="BT34" s="449">
        <f>'Danh muc'!N34*0.5%</f>
        <v>29000</v>
      </c>
      <c r="BU34" s="322"/>
      <c r="BV34" s="319">
        <f>' Bảng nhập công'!DE34</f>
        <v>0</v>
      </c>
      <c r="BW34" s="27"/>
      <c r="BX34" s="320">
        <f>' Bảng nhập công'!DF34</f>
        <v>0</v>
      </c>
      <c r="BY34" s="27"/>
      <c r="BZ34" s="320"/>
      <c r="CA34" s="27"/>
      <c r="CB34" s="320"/>
      <c r="CC34" s="27"/>
      <c r="CD34" s="450"/>
      <c r="CE34" s="27"/>
      <c r="CF34" s="321">
        <f t="shared" si="6"/>
        <v>354000</v>
      </c>
      <c r="CG34" s="11" t="s">
        <v>131</v>
      </c>
      <c r="CH34" s="27">
        <f>'Danh muc'!$W34</f>
        <v>1247000</v>
      </c>
      <c r="CI34" s="280"/>
    </row>
    <row r="35" spans="1:87" s="1" customFormat="1" ht="19.5" customHeight="1">
      <c r="A35" s="12">
        <f>'Danh muc'!A35</f>
        <v>28</v>
      </c>
      <c r="B35" s="6">
        <f>'Danh muc'!B35</f>
        <v>23031500</v>
      </c>
      <c r="C35" s="11" t="str">
        <f>'Danh muc'!C35</f>
        <v>Phan Thị Thúy Hằng</v>
      </c>
      <c r="D35" s="12" t="str">
        <f>'Danh muc'!E35</f>
        <v>Ngoại Quan</v>
      </c>
      <c r="E35" s="13">
        <f>' Bảng nhập công'!$H35</f>
        <v>0</v>
      </c>
      <c r="F35" s="13">
        <f>$E35*'Danh muc'!$H35</f>
        <v>0</v>
      </c>
      <c r="G35" s="13">
        <f>'Danh muc'!J35</f>
        <v>0</v>
      </c>
      <c r="H35" s="13"/>
      <c r="I35" s="13">
        <f>$H35*'Danh muc'!$I35</f>
        <v>0</v>
      </c>
      <c r="J35" s="13"/>
      <c r="K35" s="13">
        <f>' Bảng nhập công'!J35</f>
        <v>0</v>
      </c>
      <c r="L35" s="13">
        <f>'Danh muc'!L35*'Bảng tính toán'!K35</f>
        <v>0</v>
      </c>
      <c r="M35" s="13"/>
      <c r="N35" s="13"/>
      <c r="O35" s="13">
        <f>'Danh muc'!$M35/26*' Bảng nhập công'!H35</f>
        <v>0</v>
      </c>
      <c r="P35" s="13"/>
      <c r="Q35" s="316">
        <f>IF((' Bảng nhập công'!$E35+' Bảng nhập công'!$F35)&gt;='Bảng tính toán'!$Q$6,'Bảng tính toán'!$Q$6,(' Bảng nhập công'!$E35+' Bảng nhập công'!$F35))</f>
        <v>0</v>
      </c>
      <c r="R35" s="25">
        <f>$Q35*'Danh muc'!$O35</f>
        <v>0</v>
      </c>
      <c r="S35" s="25">
        <f>'Danh muc'!N35</f>
        <v>5700000</v>
      </c>
      <c r="T35" s="22">
        <f>' Bảng nhập công'!DE35+' Bảng nhập công'!DF35</f>
        <v>0</v>
      </c>
      <c r="U35" s="25">
        <f>IF(OR(' Bảng nhập công'!DE35&gt;=3,' Bảng nhập công'!DF35&gt;=2),0,IF(OR(' Bảng nhập công'!DE35=2,' Bảng nhập công'!DF35=1),('Danh muc'!Q35/2),'Danh muc'!Q35))</f>
        <v>500000</v>
      </c>
      <c r="V35" s="22"/>
      <c r="W35" s="22">
        <f t="shared" si="2"/>
        <v>0</v>
      </c>
      <c r="X35" s="316"/>
      <c r="Y35" s="22"/>
      <c r="Z35" s="22">
        <f t="shared" si="3"/>
        <v>0</v>
      </c>
      <c r="AA35" s="25">
        <f t="shared" si="4"/>
        <v>269230.76923076925</v>
      </c>
      <c r="AB35" s="13">
        <f>'Danh muc'!S35</f>
        <v>350000</v>
      </c>
      <c r="AC35" s="22">
        <f>IF((' Bảng nhập công'!E35+' Bảng nhập công'!F35)&gt;'Bảng tính toán'!$Q$6,(' Bảng nhập công'!E35+' Bảng nhập công'!F35-'Bảng tính toán'!$Q$6),0)+' Bảng nhập công'!G35</f>
        <v>0</v>
      </c>
      <c r="AD35" s="229">
        <f>AC35*'Danh muc'!P35</f>
        <v>0</v>
      </c>
      <c r="AE35" s="23"/>
      <c r="AF35" s="22">
        <f>' Bảng nhập công'!$K35</f>
        <v>0</v>
      </c>
      <c r="AG35" s="229">
        <f>$AF35*'Danh muc'!$V35</f>
        <v>0</v>
      </c>
      <c r="AH35" s="23"/>
      <c r="AI35" s="23">
        <f>' Bảng nhập công'!$L35</f>
        <v>0</v>
      </c>
      <c r="AJ35" s="25">
        <f>$AI35*'Danh muc'!$U35</f>
        <v>0</v>
      </c>
      <c r="AK35" s="13"/>
      <c r="AL35" s="23">
        <f>' Bảng nhập công'!$M35</f>
        <v>0</v>
      </c>
      <c r="AM35" s="229">
        <f>$AL35*'Danh muc'!$T35</f>
        <v>0</v>
      </c>
      <c r="AN35" s="23"/>
      <c r="AO35" s="24">
        <f>' Bảng nhập công'!$DC35</f>
        <v>0</v>
      </c>
      <c r="AP35" s="230">
        <f>$AO35*'Danh muc'!$O35*8</f>
        <v>0</v>
      </c>
      <c r="AQ35" s="445"/>
      <c r="AR35" s="13">
        <f>' Bảng nhập công'!$DD35</f>
        <v>1</v>
      </c>
      <c r="AS35" s="25">
        <f>$AR35*'Danh muc'!$O35*8</f>
        <v>219230.76923076922</v>
      </c>
      <c r="AT35" s="13"/>
      <c r="AU35" s="13"/>
      <c r="AV35" s="13"/>
      <c r="AW35" s="25">
        <f t="shared" si="0"/>
        <v>0</v>
      </c>
      <c r="AX35" s="13"/>
      <c r="AY35" s="13"/>
      <c r="AZ35" s="25"/>
      <c r="BA35" s="25">
        <f t="shared" si="1"/>
        <v>0</v>
      </c>
      <c r="BB35" s="13"/>
      <c r="BC35" s="25"/>
      <c r="BD35" s="13"/>
      <c r="BE35" s="295"/>
      <c r="BF35" s="446"/>
      <c r="BG35" s="295"/>
      <c r="BH35" s="446"/>
      <c r="BI35" s="295"/>
      <c r="BJ35" s="446"/>
      <c r="BK35" s="295"/>
      <c r="BL35" s="448"/>
      <c r="BM35" s="295"/>
      <c r="BN35" s="446"/>
      <c r="BO35" s="317">
        <f t="shared" si="5"/>
        <v>988461.5384615385</v>
      </c>
      <c r="BP35" s="449">
        <f>'Danh muc'!$X35</f>
        <v>598500</v>
      </c>
      <c r="BQ35" s="322"/>
      <c r="BR35" s="449"/>
      <c r="BS35" s="322"/>
      <c r="BT35" s="449">
        <f>'Danh muc'!N35*0.5%</f>
        <v>28500</v>
      </c>
      <c r="BU35" s="322"/>
      <c r="BV35" s="319">
        <f>' Bảng nhập công'!DE35</f>
        <v>0</v>
      </c>
      <c r="BW35" s="27"/>
      <c r="BX35" s="320">
        <f>' Bảng nhập công'!DF35</f>
        <v>0</v>
      </c>
      <c r="BY35" s="27"/>
      <c r="BZ35" s="320"/>
      <c r="CA35" s="27"/>
      <c r="CB35" s="320"/>
      <c r="CC35" s="27"/>
      <c r="CD35" s="450"/>
      <c r="CE35" s="27"/>
      <c r="CF35" s="321">
        <f t="shared" si="6"/>
        <v>361000</v>
      </c>
      <c r="CG35" s="11" t="s">
        <v>131</v>
      </c>
      <c r="CH35" s="27">
        <f>'Danh muc'!$W35</f>
        <v>1225500</v>
      </c>
      <c r="CI35" s="280"/>
    </row>
    <row r="36" spans="1:87" s="1" customFormat="1" ht="19.5" customHeight="1">
      <c r="A36" s="12">
        <f>'Danh muc'!A36</f>
        <v>29</v>
      </c>
      <c r="B36" s="6">
        <f>'Danh muc'!B36</f>
        <v>23013100</v>
      </c>
      <c r="C36" s="11" t="str">
        <f>'Danh muc'!C36</f>
        <v>Huỳnh Thị Cẩm Tú</v>
      </c>
      <c r="D36" s="12" t="str">
        <f>'Danh muc'!E36</f>
        <v>Ngoại Quan</v>
      </c>
      <c r="E36" s="13">
        <f>' Bảng nhập công'!$H36</f>
        <v>0</v>
      </c>
      <c r="F36" s="13">
        <f>$E36*'Danh muc'!$H36</f>
        <v>0</v>
      </c>
      <c r="G36" s="13">
        <f>'Danh muc'!J36</f>
        <v>0</v>
      </c>
      <c r="H36" s="13">
        <f>' Bảng nhập công'!$L36</f>
        <v>0</v>
      </c>
      <c r="I36" s="13">
        <f>$H36*'Danh muc'!$I36</f>
        <v>0</v>
      </c>
      <c r="J36" s="13"/>
      <c r="K36" s="13">
        <f>' Bảng nhập công'!J36</f>
        <v>0</v>
      </c>
      <c r="L36" s="13">
        <f>'Danh muc'!L36*'Bảng tính toán'!K36</f>
        <v>0</v>
      </c>
      <c r="M36" s="13"/>
      <c r="N36" s="13"/>
      <c r="O36" s="13">
        <f>'Danh muc'!$M36/26*' Bảng nhập công'!H36</f>
        <v>0</v>
      </c>
      <c r="P36" s="13"/>
      <c r="Q36" s="316">
        <f>IF((' Bảng nhập công'!$E36+' Bảng nhập công'!$F36)&gt;='Bảng tính toán'!$Q$6,'Bảng tính toán'!$Q$6,(' Bảng nhập công'!$E36+' Bảng nhập công'!$F36))</f>
        <v>0</v>
      </c>
      <c r="R36" s="25">
        <f>$Q36*'Danh muc'!$O36</f>
        <v>0</v>
      </c>
      <c r="S36" s="25">
        <f>'Danh muc'!N36</f>
        <v>5700000</v>
      </c>
      <c r="T36" s="22">
        <f>' Bảng nhập công'!DE36+' Bảng nhập công'!DF36</f>
        <v>0</v>
      </c>
      <c r="U36" s="25">
        <f>IF(OR(' Bảng nhập công'!DE36&gt;=3,' Bảng nhập công'!DF36&gt;=2),0,IF(OR(' Bảng nhập công'!DE36=2,' Bảng nhập công'!DF36=1),('Danh muc'!Q36/2),'Danh muc'!Q36))</f>
        <v>500000</v>
      </c>
      <c r="V36" s="22"/>
      <c r="W36" s="22">
        <f t="shared" si="2"/>
        <v>0</v>
      </c>
      <c r="X36" s="316"/>
      <c r="Y36" s="22"/>
      <c r="Z36" s="22">
        <f t="shared" si="3"/>
        <v>0</v>
      </c>
      <c r="AA36" s="25">
        <f t="shared" si="4"/>
        <v>269230.76923076925</v>
      </c>
      <c r="AB36" s="13">
        <f>'Danh muc'!S36</f>
        <v>350000</v>
      </c>
      <c r="AC36" s="22">
        <f>IF((' Bảng nhập công'!E36+' Bảng nhập công'!F36)&gt;'Bảng tính toán'!$Q$6,(' Bảng nhập công'!E36+' Bảng nhập công'!F36-'Bảng tính toán'!$Q$6),0)+' Bảng nhập công'!G36</f>
        <v>0</v>
      </c>
      <c r="AD36" s="229">
        <f>AC36*'Danh muc'!P36</f>
        <v>0</v>
      </c>
      <c r="AE36" s="23"/>
      <c r="AF36" s="22">
        <f>' Bảng nhập công'!$K36</f>
        <v>0</v>
      </c>
      <c r="AG36" s="229">
        <f>$AF36*'Danh muc'!$V36</f>
        <v>0</v>
      </c>
      <c r="AH36" s="23"/>
      <c r="AI36" s="23">
        <f>' Bảng nhập công'!$L36</f>
        <v>0</v>
      </c>
      <c r="AJ36" s="25">
        <f>$AI36*'Danh muc'!$U36</f>
        <v>0</v>
      </c>
      <c r="AK36" s="13"/>
      <c r="AL36" s="23">
        <f>' Bảng nhập công'!$M36</f>
        <v>0</v>
      </c>
      <c r="AM36" s="229">
        <f>$AL36*'Danh muc'!$T36</f>
        <v>0</v>
      </c>
      <c r="AN36" s="23"/>
      <c r="AO36" s="24">
        <f>' Bảng nhập công'!$DC36</f>
        <v>0</v>
      </c>
      <c r="AP36" s="230">
        <f>$AO36*'Danh muc'!$O36*8</f>
        <v>0</v>
      </c>
      <c r="AQ36" s="445"/>
      <c r="AR36" s="13">
        <f>' Bảng nhập công'!$DD36</f>
        <v>1</v>
      </c>
      <c r="AS36" s="25">
        <f>$AR36*'Danh muc'!$O36*8</f>
        <v>219230.76923076922</v>
      </c>
      <c r="AT36" s="13"/>
      <c r="AU36" s="13"/>
      <c r="AV36" s="13"/>
      <c r="AW36" s="25">
        <f t="shared" si="0"/>
        <v>0</v>
      </c>
      <c r="AX36" s="13"/>
      <c r="AY36" s="13"/>
      <c r="AZ36" s="25"/>
      <c r="BA36" s="25">
        <f t="shared" si="1"/>
        <v>0</v>
      </c>
      <c r="BB36" s="13"/>
      <c r="BC36" s="25"/>
      <c r="BD36" s="13"/>
      <c r="BE36" s="295"/>
      <c r="BF36" s="446"/>
      <c r="BG36" s="295"/>
      <c r="BH36" s="446"/>
      <c r="BI36" s="295"/>
      <c r="BJ36" s="446"/>
      <c r="BK36" s="295"/>
      <c r="BL36" s="448"/>
      <c r="BM36" s="295"/>
      <c r="BN36" s="446"/>
      <c r="BO36" s="317">
        <f t="shared" si="5"/>
        <v>988461.5384615385</v>
      </c>
      <c r="BP36" s="449">
        <f>'Danh muc'!$X36</f>
        <v>598500</v>
      </c>
      <c r="BQ36" s="322"/>
      <c r="BR36" s="449"/>
      <c r="BS36" s="322"/>
      <c r="BT36" s="449">
        <f>'Danh muc'!N36*0.5%</f>
        <v>28500</v>
      </c>
      <c r="BU36" s="322"/>
      <c r="BV36" s="319">
        <f>' Bảng nhập công'!DE36</f>
        <v>0</v>
      </c>
      <c r="BW36" s="27"/>
      <c r="BX36" s="320">
        <f>' Bảng nhập công'!DF36</f>
        <v>0</v>
      </c>
      <c r="BY36" s="27"/>
      <c r="BZ36" s="320"/>
      <c r="CA36" s="27"/>
      <c r="CB36" s="320"/>
      <c r="CC36" s="27"/>
      <c r="CD36" s="450"/>
      <c r="CE36" s="27"/>
      <c r="CF36" s="321">
        <f t="shared" si="6"/>
        <v>361000</v>
      </c>
      <c r="CG36" s="11" t="s">
        <v>131</v>
      </c>
      <c r="CH36" s="27">
        <f>'Danh muc'!$W36</f>
        <v>1225500</v>
      </c>
      <c r="CI36" s="280"/>
    </row>
    <row r="37" spans="1:87" s="1" customFormat="1" ht="19.5" customHeight="1">
      <c r="A37" s="12">
        <f>'Danh muc'!A37</f>
        <v>30</v>
      </c>
      <c r="B37" s="6">
        <f>'Danh muc'!B37</f>
        <v>23030100</v>
      </c>
      <c r="C37" s="11" t="str">
        <f>'Danh muc'!C37</f>
        <v>Đinh Phương Thảo</v>
      </c>
      <c r="D37" s="12" t="str">
        <f>'Danh muc'!E37</f>
        <v>ISO</v>
      </c>
      <c r="E37" s="13">
        <f>' Bảng nhập công'!$H37</f>
        <v>0</v>
      </c>
      <c r="F37" s="13">
        <f>$E37*'Danh muc'!$H37</f>
        <v>0</v>
      </c>
      <c r="G37" s="13">
        <f>'Danh muc'!J37</f>
        <v>0</v>
      </c>
      <c r="H37" s="13">
        <f>' Bảng nhập công'!$L37</f>
        <v>0</v>
      </c>
      <c r="I37" s="13">
        <f>$H37*'Danh muc'!$I37</f>
        <v>0</v>
      </c>
      <c r="J37" s="13"/>
      <c r="K37" s="13">
        <f>' Bảng nhập công'!J37</f>
        <v>0</v>
      </c>
      <c r="L37" s="13">
        <f>'Danh muc'!L37*'Bảng tính toán'!K37</f>
        <v>0</v>
      </c>
      <c r="M37" s="13"/>
      <c r="N37" s="13"/>
      <c r="O37" s="13">
        <f>'Danh muc'!$M37/26*' Bảng nhập công'!H37</f>
        <v>0</v>
      </c>
      <c r="P37" s="13"/>
      <c r="Q37" s="316">
        <f>IF((' Bảng nhập công'!$E37+' Bảng nhập công'!$F37)&gt;='Bảng tính toán'!$Q$6,'Bảng tính toán'!$Q$6,(' Bảng nhập công'!$E37+' Bảng nhập công'!$F37))</f>
        <v>0</v>
      </c>
      <c r="R37" s="25">
        <f>$Q37*'Danh muc'!$O37</f>
        <v>0</v>
      </c>
      <c r="S37" s="25">
        <f>'Danh muc'!N37</f>
        <v>6000000</v>
      </c>
      <c r="T37" s="22">
        <f>' Bảng nhập công'!DE37+' Bảng nhập công'!DF37</f>
        <v>0</v>
      </c>
      <c r="U37" s="25">
        <f>IF(OR(' Bảng nhập công'!DE37&gt;=3,' Bảng nhập công'!DF37&gt;=2),0,IF(OR(' Bảng nhập công'!DE37=2,' Bảng nhập công'!DF37=1),('Danh muc'!Q37/2),'Danh muc'!Q37))</f>
        <v>500000</v>
      </c>
      <c r="V37" s="22"/>
      <c r="W37" s="22">
        <f t="shared" si="2"/>
        <v>0</v>
      </c>
      <c r="X37" s="316"/>
      <c r="Y37" s="22"/>
      <c r="Z37" s="22">
        <f t="shared" si="3"/>
        <v>0</v>
      </c>
      <c r="AA37" s="25">
        <f t="shared" si="4"/>
        <v>192307.69230769231</v>
      </c>
      <c r="AB37" s="13">
        <f>'Danh muc'!S37</f>
        <v>250000</v>
      </c>
      <c r="AC37" s="22">
        <f>IF((' Bảng nhập công'!E37+' Bảng nhập công'!F37)&gt;'Bảng tính toán'!$Q$6,(' Bảng nhập công'!E37+' Bảng nhập công'!F37-'Bảng tính toán'!$Q$6),0)+' Bảng nhập công'!G37</f>
        <v>0</v>
      </c>
      <c r="AD37" s="229">
        <f>AC37*'Danh muc'!P37</f>
        <v>0</v>
      </c>
      <c r="AE37" s="23"/>
      <c r="AF37" s="22">
        <f>' Bảng nhập công'!$K37</f>
        <v>0</v>
      </c>
      <c r="AG37" s="229">
        <f>$AF37*'Danh muc'!$V37</f>
        <v>0</v>
      </c>
      <c r="AH37" s="23"/>
      <c r="AI37" s="23">
        <f>' Bảng nhập công'!$L37</f>
        <v>0</v>
      </c>
      <c r="AJ37" s="25">
        <f>$AI37*'Danh muc'!$U37</f>
        <v>0</v>
      </c>
      <c r="AK37" s="13"/>
      <c r="AL37" s="23">
        <f>' Bảng nhập công'!$M37</f>
        <v>0</v>
      </c>
      <c r="AM37" s="229">
        <f>$AL37*'Danh muc'!$T37</f>
        <v>0</v>
      </c>
      <c r="AN37" s="23"/>
      <c r="AO37" s="24">
        <f>' Bảng nhập công'!$DC37</f>
        <v>0</v>
      </c>
      <c r="AP37" s="230">
        <f>$AO37*'Danh muc'!$O37*8</f>
        <v>0</v>
      </c>
      <c r="AQ37" s="445"/>
      <c r="AR37" s="13">
        <f>' Bảng nhập công'!$DD37</f>
        <v>1</v>
      </c>
      <c r="AS37" s="25">
        <f>$AR37*'Danh muc'!$O37*8</f>
        <v>230769.23076923078</v>
      </c>
      <c r="AT37" s="13"/>
      <c r="AU37" s="13"/>
      <c r="AV37" s="13"/>
      <c r="AW37" s="25">
        <f t="shared" si="0"/>
        <v>0</v>
      </c>
      <c r="AX37" s="13"/>
      <c r="AY37" s="13"/>
      <c r="AZ37" s="25"/>
      <c r="BA37" s="25">
        <f t="shared" si="1"/>
        <v>0</v>
      </c>
      <c r="BB37" s="13"/>
      <c r="BC37" s="25"/>
      <c r="BD37" s="13"/>
      <c r="BE37" s="295"/>
      <c r="BF37" s="446"/>
      <c r="BG37" s="295"/>
      <c r="BH37" s="446"/>
      <c r="BI37" s="295"/>
      <c r="BJ37" s="446"/>
      <c r="BK37" s="295"/>
      <c r="BL37" s="448"/>
      <c r="BM37" s="295"/>
      <c r="BN37" s="446"/>
      <c r="BO37" s="317">
        <f t="shared" si="5"/>
        <v>923076.92307692301</v>
      </c>
      <c r="BP37" s="449">
        <f>'Danh muc'!$X37</f>
        <v>630000</v>
      </c>
      <c r="BQ37" s="322"/>
      <c r="BR37" s="449"/>
      <c r="BS37" s="322"/>
      <c r="BT37" s="449">
        <f>'Danh muc'!N37*0.5%</f>
        <v>30000</v>
      </c>
      <c r="BU37" s="322"/>
      <c r="BV37" s="319">
        <f>' Bảng nhập công'!DE37</f>
        <v>0</v>
      </c>
      <c r="BW37" s="27"/>
      <c r="BX37" s="320">
        <f>' Bảng nhập công'!DF37</f>
        <v>0</v>
      </c>
      <c r="BY37" s="27"/>
      <c r="BZ37" s="320"/>
      <c r="CA37" s="27"/>
      <c r="CB37" s="320"/>
      <c r="CC37" s="27"/>
      <c r="CD37" s="450"/>
      <c r="CE37" s="27"/>
      <c r="CF37" s="321">
        <f t="shared" si="6"/>
        <v>263000</v>
      </c>
      <c r="CG37" s="11" t="s">
        <v>131</v>
      </c>
      <c r="CH37" s="27">
        <f>'Danh muc'!$W37</f>
        <v>1290000</v>
      </c>
      <c r="CI37" s="280"/>
    </row>
    <row r="38" spans="1:87" s="1" customFormat="1" ht="19.5" customHeight="1">
      <c r="A38" s="12">
        <f>'Danh muc'!A38</f>
        <v>31</v>
      </c>
      <c r="B38" s="6">
        <f>'Danh muc'!B38</f>
        <v>24080500</v>
      </c>
      <c r="C38" s="11" t="str">
        <f>'Danh muc'!C38</f>
        <v>Võ Thị Thúy Kiều</v>
      </c>
      <c r="D38" s="12" t="str">
        <f>'Danh muc'!E38</f>
        <v>Ngoại Quan</v>
      </c>
      <c r="E38" s="13">
        <f>' Bảng nhập công'!$H38</f>
        <v>0</v>
      </c>
      <c r="F38" s="13">
        <f>$E38*'Danh muc'!$H38</f>
        <v>0</v>
      </c>
      <c r="G38" s="13">
        <f>'Danh muc'!J38</f>
        <v>0</v>
      </c>
      <c r="H38" s="13">
        <f>' Bảng nhập công'!$L38</f>
        <v>0</v>
      </c>
      <c r="I38" s="13">
        <f>$H38*'Danh muc'!$I38</f>
        <v>0</v>
      </c>
      <c r="J38" s="13"/>
      <c r="K38" s="13">
        <f>' Bảng nhập công'!J38</f>
        <v>0</v>
      </c>
      <c r="L38" s="13">
        <f>'Danh muc'!L38*'Bảng tính toán'!K38</f>
        <v>0</v>
      </c>
      <c r="M38" s="13"/>
      <c r="N38" s="13"/>
      <c r="O38" s="13">
        <f>'Danh muc'!$M38/26*' Bảng nhập công'!H38</f>
        <v>0</v>
      </c>
      <c r="P38" s="13"/>
      <c r="Q38" s="316">
        <f>IF((' Bảng nhập công'!$E38+' Bảng nhập công'!$F38)&gt;='Bảng tính toán'!$Q$6,'Bảng tính toán'!$Q$6,(' Bảng nhập công'!$E38+' Bảng nhập công'!$F38))</f>
        <v>0</v>
      </c>
      <c r="R38" s="25">
        <f>$Q38*'Danh muc'!$O38</f>
        <v>0</v>
      </c>
      <c r="S38" s="25">
        <f>'Danh muc'!N38</f>
        <v>5700000</v>
      </c>
      <c r="T38" s="22">
        <f>' Bảng nhập công'!DE38+' Bảng nhập công'!DF38</f>
        <v>0</v>
      </c>
      <c r="U38" s="25">
        <f>IF(OR(' Bảng nhập công'!DE38&gt;=3,' Bảng nhập công'!DF38&gt;=2),0,IF(OR(' Bảng nhập công'!DE38=2,' Bảng nhập công'!DF38=1),('Danh muc'!Q38/2),'Danh muc'!Q38))</f>
        <v>500000</v>
      </c>
      <c r="V38" s="22"/>
      <c r="W38" s="22">
        <f t="shared" si="2"/>
        <v>0</v>
      </c>
      <c r="X38" s="316"/>
      <c r="Y38" s="22"/>
      <c r="Z38" s="22">
        <f t="shared" si="3"/>
        <v>0</v>
      </c>
      <c r="AA38" s="25">
        <f t="shared" si="4"/>
        <v>192307.69230769231</v>
      </c>
      <c r="AB38" s="13">
        <f>'Danh muc'!S38</f>
        <v>250000</v>
      </c>
      <c r="AC38" s="22">
        <f>IF((' Bảng nhập công'!E38+' Bảng nhập công'!F38)&gt;'Bảng tính toán'!$Q$6,(' Bảng nhập công'!E38+' Bảng nhập công'!F38-'Bảng tính toán'!$Q$6),0)+' Bảng nhập công'!G38</f>
        <v>0</v>
      </c>
      <c r="AD38" s="229">
        <f>AC38*'Danh muc'!P38</f>
        <v>0</v>
      </c>
      <c r="AE38" s="23"/>
      <c r="AF38" s="22">
        <f>' Bảng nhập công'!$K38</f>
        <v>0</v>
      </c>
      <c r="AG38" s="229">
        <f>$AF38*'Danh muc'!$V38</f>
        <v>0</v>
      </c>
      <c r="AH38" s="23"/>
      <c r="AI38" s="23">
        <f>' Bảng nhập công'!$L38</f>
        <v>0</v>
      </c>
      <c r="AJ38" s="25">
        <f>$AI38*'Danh muc'!$U38</f>
        <v>0</v>
      </c>
      <c r="AK38" s="13"/>
      <c r="AL38" s="23">
        <f>' Bảng nhập công'!$M38</f>
        <v>0</v>
      </c>
      <c r="AM38" s="229">
        <f>$AL38*'Danh muc'!$T38</f>
        <v>0</v>
      </c>
      <c r="AN38" s="23"/>
      <c r="AO38" s="24">
        <f>' Bảng nhập công'!$DC38</f>
        <v>0</v>
      </c>
      <c r="AP38" s="230">
        <f>$AO38*'Danh muc'!$O38*8</f>
        <v>0</v>
      </c>
      <c r="AQ38" s="445"/>
      <c r="AR38" s="13">
        <f>' Bảng nhập công'!$DD38</f>
        <v>1</v>
      </c>
      <c r="AS38" s="25">
        <f>$AR38*'Danh muc'!$O38*8</f>
        <v>219230.76923076922</v>
      </c>
      <c r="AT38" s="13"/>
      <c r="AU38" s="13"/>
      <c r="AV38" s="13"/>
      <c r="AW38" s="25">
        <f t="shared" si="0"/>
        <v>0</v>
      </c>
      <c r="AX38" s="13"/>
      <c r="AY38" s="13"/>
      <c r="AZ38" s="25"/>
      <c r="BA38" s="25">
        <f t="shared" si="1"/>
        <v>0</v>
      </c>
      <c r="BB38" s="13"/>
      <c r="BC38" s="25"/>
      <c r="BD38" s="13"/>
      <c r="BE38" s="295"/>
      <c r="BF38" s="446"/>
      <c r="BG38" s="295"/>
      <c r="BH38" s="446"/>
      <c r="BI38" s="295"/>
      <c r="BJ38" s="446"/>
      <c r="BK38" s="295"/>
      <c r="BL38" s="448"/>
      <c r="BM38" s="295"/>
      <c r="BN38" s="446"/>
      <c r="BO38" s="317">
        <f t="shared" si="5"/>
        <v>911538.4615384615</v>
      </c>
      <c r="BP38" s="449">
        <f>'Danh muc'!$X38</f>
        <v>598500</v>
      </c>
      <c r="BQ38" s="322"/>
      <c r="BR38" s="449"/>
      <c r="BS38" s="322"/>
      <c r="BT38" s="449">
        <f>'Danh muc'!N38*0.5%</f>
        <v>28500</v>
      </c>
      <c r="BU38" s="322"/>
      <c r="BV38" s="319">
        <f>' Bảng nhập công'!DE38</f>
        <v>0</v>
      </c>
      <c r="BW38" s="27"/>
      <c r="BX38" s="320">
        <f>' Bảng nhập công'!DF38</f>
        <v>0</v>
      </c>
      <c r="BY38" s="27"/>
      <c r="BZ38" s="320"/>
      <c r="CA38" s="27"/>
      <c r="CB38" s="320"/>
      <c r="CC38" s="27"/>
      <c r="CD38" s="450"/>
      <c r="CE38" s="27"/>
      <c r="CF38" s="321">
        <f t="shared" si="6"/>
        <v>284000</v>
      </c>
      <c r="CG38" s="11" t="s">
        <v>131</v>
      </c>
      <c r="CH38" s="27">
        <f>'Danh muc'!$W38</f>
        <v>1225500</v>
      </c>
      <c r="CI38" s="280"/>
    </row>
    <row r="39" spans="1:87" s="1" customFormat="1" ht="19.5" customHeight="1">
      <c r="A39" s="12">
        <f>'Danh muc'!A39</f>
        <v>32</v>
      </c>
      <c r="B39" s="6">
        <f>'Danh muc'!B39</f>
        <v>23041700</v>
      </c>
      <c r="C39" s="11" t="str">
        <f>'Danh muc'!C39</f>
        <v>Trần Thị Cẩm Tiên</v>
      </c>
      <c r="D39" s="12" t="str">
        <f>'Danh muc'!E39</f>
        <v>Ngoại Quan</v>
      </c>
      <c r="E39" s="13">
        <f>' Bảng nhập công'!$H39</f>
        <v>0</v>
      </c>
      <c r="F39" s="13">
        <f>$E39*'Danh muc'!$H39</f>
        <v>0</v>
      </c>
      <c r="G39" s="13">
        <f>'Danh muc'!J39</f>
        <v>0</v>
      </c>
      <c r="H39" s="13">
        <f>' Bảng nhập công'!$L39</f>
        <v>0</v>
      </c>
      <c r="I39" s="13">
        <f>$H39*'Danh muc'!$I39</f>
        <v>0</v>
      </c>
      <c r="J39" s="13"/>
      <c r="K39" s="13">
        <f>' Bảng nhập công'!J39</f>
        <v>0</v>
      </c>
      <c r="L39" s="13">
        <f>'Danh muc'!L39*'Bảng tính toán'!K39</f>
        <v>0</v>
      </c>
      <c r="M39" s="13"/>
      <c r="N39" s="13"/>
      <c r="O39" s="13">
        <f>'Danh muc'!$M39/26*' Bảng nhập công'!H39</f>
        <v>0</v>
      </c>
      <c r="P39" s="13"/>
      <c r="Q39" s="316">
        <f>IF((' Bảng nhập công'!$E39+' Bảng nhập công'!$F39)&gt;='Bảng tính toán'!$Q$6,'Bảng tính toán'!$Q$6,(' Bảng nhập công'!$E39+' Bảng nhập công'!$F39))</f>
        <v>0</v>
      </c>
      <c r="R39" s="25">
        <f>$Q39*'Danh muc'!$O39</f>
        <v>0</v>
      </c>
      <c r="S39" s="25">
        <f>'Danh muc'!N39</f>
        <v>5900000</v>
      </c>
      <c r="T39" s="22">
        <f>' Bảng nhập công'!DE39+' Bảng nhập công'!DF39</f>
        <v>0</v>
      </c>
      <c r="U39" s="25">
        <f>IF(OR(' Bảng nhập công'!DE39&gt;=3,' Bảng nhập công'!DF39&gt;=2),0,IF(OR(' Bảng nhập công'!DE39=2,' Bảng nhập công'!DF39=1),('Danh muc'!Q39/2),'Danh muc'!Q39))</f>
        <v>500000</v>
      </c>
      <c r="V39" s="22"/>
      <c r="W39" s="22">
        <f t="shared" si="2"/>
        <v>0</v>
      </c>
      <c r="X39" s="316"/>
      <c r="Y39" s="22"/>
      <c r="Z39" s="22">
        <f t="shared" si="3"/>
        <v>0</v>
      </c>
      <c r="AA39" s="25">
        <f t="shared" si="4"/>
        <v>192307.69230769231</v>
      </c>
      <c r="AB39" s="13">
        <f>'Danh muc'!S39</f>
        <v>250000</v>
      </c>
      <c r="AC39" s="22">
        <f>IF((' Bảng nhập công'!E39+' Bảng nhập công'!F39)&gt;'Bảng tính toán'!$Q$6,(' Bảng nhập công'!E39+' Bảng nhập công'!F39-'Bảng tính toán'!$Q$6),0)+' Bảng nhập công'!G39</f>
        <v>0</v>
      </c>
      <c r="AD39" s="229">
        <f>AC39*'Danh muc'!P39</f>
        <v>0</v>
      </c>
      <c r="AE39" s="23"/>
      <c r="AF39" s="22">
        <f>' Bảng nhập công'!$K39</f>
        <v>0</v>
      </c>
      <c r="AG39" s="229">
        <f>$AF39*'Danh muc'!$V39</f>
        <v>0</v>
      </c>
      <c r="AH39" s="23"/>
      <c r="AI39" s="23">
        <f>' Bảng nhập công'!$L39</f>
        <v>0</v>
      </c>
      <c r="AJ39" s="25">
        <f>$AI39*'Danh muc'!$U39</f>
        <v>0</v>
      </c>
      <c r="AK39" s="13"/>
      <c r="AL39" s="23">
        <f>' Bảng nhập công'!$M39</f>
        <v>0</v>
      </c>
      <c r="AM39" s="229">
        <f>$AL39*'Danh muc'!$T39</f>
        <v>0</v>
      </c>
      <c r="AN39" s="23"/>
      <c r="AO39" s="24">
        <f>' Bảng nhập công'!$DC39</f>
        <v>0</v>
      </c>
      <c r="AP39" s="230">
        <f>$AO39*'Danh muc'!$O39*8</f>
        <v>0</v>
      </c>
      <c r="AQ39" s="445"/>
      <c r="AR39" s="13">
        <f>' Bảng nhập công'!$DD39</f>
        <v>1</v>
      </c>
      <c r="AS39" s="25">
        <f>$AR39*'Danh muc'!$O39*8</f>
        <v>226923.07692307694</v>
      </c>
      <c r="AT39" s="13"/>
      <c r="AU39" s="13"/>
      <c r="AV39" s="13"/>
      <c r="AW39" s="25">
        <f t="shared" si="0"/>
        <v>0</v>
      </c>
      <c r="AX39" s="13"/>
      <c r="AY39" s="13"/>
      <c r="AZ39" s="25"/>
      <c r="BA39" s="25">
        <f t="shared" si="1"/>
        <v>0</v>
      </c>
      <c r="BB39" s="13"/>
      <c r="BC39" s="25"/>
      <c r="BD39" s="13"/>
      <c r="BE39" s="295"/>
      <c r="BF39" s="446"/>
      <c r="BG39" s="295"/>
      <c r="BH39" s="446"/>
      <c r="BI39" s="295"/>
      <c r="BJ39" s="446"/>
      <c r="BK39" s="295"/>
      <c r="BL39" s="448"/>
      <c r="BM39" s="295"/>
      <c r="BN39" s="446"/>
      <c r="BO39" s="317">
        <f t="shared" si="5"/>
        <v>919230.76923076925</v>
      </c>
      <c r="BP39" s="449">
        <f>'Danh muc'!$X39</f>
        <v>619500</v>
      </c>
      <c r="BQ39" s="322"/>
      <c r="BR39" s="449"/>
      <c r="BS39" s="322"/>
      <c r="BT39" s="449">
        <f>'Danh muc'!N39*0.5%</f>
        <v>29500</v>
      </c>
      <c r="BU39" s="322"/>
      <c r="BV39" s="319">
        <f>' Bảng nhập công'!DE39</f>
        <v>0</v>
      </c>
      <c r="BW39" s="27"/>
      <c r="BX39" s="320">
        <f>' Bảng nhập công'!DF39</f>
        <v>0</v>
      </c>
      <c r="BY39" s="27"/>
      <c r="BZ39" s="320"/>
      <c r="CA39" s="27"/>
      <c r="CB39" s="320"/>
      <c r="CC39" s="27"/>
      <c r="CD39" s="450"/>
      <c r="CE39" s="27"/>
      <c r="CF39" s="321">
        <f t="shared" si="6"/>
        <v>270000</v>
      </c>
      <c r="CG39" s="11" t="s">
        <v>131</v>
      </c>
      <c r="CH39" s="27">
        <f>'Danh muc'!$W39</f>
        <v>1268500</v>
      </c>
      <c r="CI39" s="280"/>
    </row>
    <row r="40" spans="1:87" s="1" customFormat="1" ht="19.5" customHeight="1">
      <c r="A40" s="12">
        <f>'Danh muc'!A40</f>
        <v>33</v>
      </c>
      <c r="B40" s="6">
        <f>'Danh muc'!B40</f>
        <v>25080800</v>
      </c>
      <c r="C40" s="344" t="str">
        <f>'Danh muc'!C40</f>
        <v>Phan Thanh Toàn</v>
      </c>
      <c r="D40" s="12" t="str">
        <f>'Danh muc'!E40</f>
        <v>Khuôn</v>
      </c>
      <c r="E40" s="13">
        <f>' Bảng nhập công'!$H40</f>
        <v>0</v>
      </c>
      <c r="F40" s="13">
        <f>$E40*'Danh muc'!$H40</f>
        <v>0</v>
      </c>
      <c r="G40" s="13">
        <f>'Danh muc'!J40</f>
        <v>0</v>
      </c>
      <c r="H40" s="13"/>
      <c r="I40" s="13">
        <f>$H40*'Danh muc'!$I40</f>
        <v>0</v>
      </c>
      <c r="J40" s="13"/>
      <c r="K40" s="13">
        <f>' Bảng nhập công'!J40</f>
        <v>0</v>
      </c>
      <c r="L40" s="13">
        <f>'Danh muc'!L40*'Bảng tính toán'!K40</f>
        <v>0</v>
      </c>
      <c r="M40" s="13"/>
      <c r="N40" s="13"/>
      <c r="O40" s="13">
        <f>'Danh muc'!$M40/26*' Bảng nhập công'!H40</f>
        <v>0</v>
      </c>
      <c r="P40" s="13"/>
      <c r="Q40" s="316">
        <f>IF((' Bảng nhập công'!$E40+' Bảng nhập công'!$F40)&gt;='Bảng tính toán'!$Q$6,'Bảng tính toán'!$Q$6,(' Bảng nhập công'!$E40+' Bảng nhập công'!$F40))</f>
        <v>0</v>
      </c>
      <c r="R40" s="25">
        <f>$Q40*'Danh muc'!$O40</f>
        <v>0</v>
      </c>
      <c r="S40" s="25">
        <f>'Danh muc'!N40</f>
        <v>5500000</v>
      </c>
      <c r="T40" s="22">
        <f>' Bảng nhập công'!DE40+' Bảng nhập công'!DF40</f>
        <v>0</v>
      </c>
      <c r="U40" s="25"/>
      <c r="V40" s="22"/>
      <c r="W40" s="22">
        <f t="shared" si="2"/>
        <v>0</v>
      </c>
      <c r="X40" s="316"/>
      <c r="Y40" s="22"/>
      <c r="Z40" s="22">
        <f t="shared" si="3"/>
        <v>0</v>
      </c>
      <c r="AA40" s="25">
        <f t="shared" si="4"/>
        <v>0</v>
      </c>
      <c r="AB40" s="13"/>
      <c r="AC40" s="22">
        <f>IF((' Bảng nhập công'!E40+' Bảng nhập công'!F40)&gt;'Bảng tính toán'!$Q$6,(' Bảng nhập công'!E40+' Bảng nhập công'!F40-'Bảng tính toán'!$Q$6),0)+' Bảng nhập công'!G40</f>
        <v>0</v>
      </c>
      <c r="AD40" s="229">
        <f>AC40*'Danh muc'!P40</f>
        <v>0</v>
      </c>
      <c r="AE40" s="23"/>
      <c r="AF40" s="22">
        <f>' Bảng nhập công'!$K40</f>
        <v>0</v>
      </c>
      <c r="AG40" s="229">
        <f>$AF40*'Danh muc'!$V40</f>
        <v>0</v>
      </c>
      <c r="AH40" s="23"/>
      <c r="AI40" s="23">
        <f>' Bảng nhập công'!$L40</f>
        <v>0</v>
      </c>
      <c r="AJ40" s="25">
        <f>$AI40*'Danh muc'!$U40</f>
        <v>0</v>
      </c>
      <c r="AK40" s="13"/>
      <c r="AL40" s="23">
        <f>' Bảng nhập công'!$M40</f>
        <v>0</v>
      </c>
      <c r="AM40" s="229">
        <f>$AL40*'Danh muc'!$T40</f>
        <v>0</v>
      </c>
      <c r="AN40" s="23"/>
      <c r="AO40" s="24">
        <f>' Bảng nhập công'!$DC40</f>
        <v>0</v>
      </c>
      <c r="AP40" s="230">
        <f>$AO40*'Danh muc'!$O40*8</f>
        <v>0</v>
      </c>
      <c r="AQ40" s="445"/>
      <c r="AR40" s="13">
        <f>' Bảng nhập công'!$DD40</f>
        <v>1</v>
      </c>
      <c r="AS40" s="25">
        <f>$AR40*'Danh muc'!$O40*8</f>
        <v>211538.46153846153</v>
      </c>
      <c r="AT40" s="13"/>
      <c r="AU40" s="13"/>
      <c r="AV40" s="13"/>
      <c r="AW40" s="25">
        <f t="shared" si="0"/>
        <v>0</v>
      </c>
      <c r="AX40" s="13"/>
      <c r="AY40" s="13"/>
      <c r="AZ40" s="25"/>
      <c r="BA40" s="25">
        <f t="shared" si="1"/>
        <v>0</v>
      </c>
      <c r="BB40" s="13"/>
      <c r="BC40" s="25"/>
      <c r="BD40" s="13"/>
      <c r="BE40" s="295"/>
      <c r="BF40" s="446"/>
      <c r="BG40" s="295"/>
      <c r="BH40" s="446"/>
      <c r="BI40" s="295"/>
      <c r="BJ40" s="446"/>
      <c r="BK40" s="295"/>
      <c r="BL40" s="448"/>
      <c r="BM40" s="295"/>
      <c r="BN40" s="446"/>
      <c r="BO40" s="317">
        <f t="shared" si="5"/>
        <v>211538.46153846153</v>
      </c>
      <c r="BP40" s="449">
        <f>'Danh muc'!$X40</f>
        <v>577500</v>
      </c>
      <c r="BQ40" s="322"/>
      <c r="BR40" s="449"/>
      <c r="BS40" s="322"/>
      <c r="BT40" s="449"/>
      <c r="BU40" s="322"/>
      <c r="BV40" s="319">
        <f>' Bảng nhập công'!DE40</f>
        <v>0</v>
      </c>
      <c r="BW40" s="27"/>
      <c r="BX40" s="320">
        <f>' Bảng nhập công'!DF40</f>
        <v>0</v>
      </c>
      <c r="BY40" s="27"/>
      <c r="BZ40" s="320"/>
      <c r="CA40" s="27"/>
      <c r="CB40" s="320"/>
      <c r="CC40" s="27"/>
      <c r="CD40" s="450"/>
      <c r="CE40" s="27"/>
      <c r="CF40" s="321">
        <f t="shared" si="6"/>
        <v>-366000</v>
      </c>
      <c r="CG40" s="11" t="s">
        <v>131</v>
      </c>
      <c r="CH40" s="27">
        <f>'Danh muc'!$W40</f>
        <v>1182500</v>
      </c>
      <c r="CI40" s="280"/>
    </row>
    <row r="41" spans="1:87" s="1" customFormat="1" ht="19.5" customHeight="1">
      <c r="A41" s="12">
        <f>'Danh muc'!A41</f>
        <v>34</v>
      </c>
      <c r="B41" s="6">
        <f>'Danh muc'!B41</f>
        <v>24022100</v>
      </c>
      <c r="C41" s="11" t="str">
        <f>'Danh muc'!C41</f>
        <v>Nguyễn Thị Hồng Nhung</v>
      </c>
      <c r="D41" s="12" t="str">
        <f>'Danh muc'!E41</f>
        <v>Ngoại Quan</v>
      </c>
      <c r="E41" s="13">
        <f>' Bảng nhập công'!$H41</f>
        <v>0</v>
      </c>
      <c r="F41" s="13">
        <f>$E41*'Danh muc'!$H41</f>
        <v>0</v>
      </c>
      <c r="G41" s="13">
        <f>'Danh muc'!J41</f>
        <v>0</v>
      </c>
      <c r="H41" s="13"/>
      <c r="I41" s="13">
        <f>$H41*'Danh muc'!$I41</f>
        <v>0</v>
      </c>
      <c r="J41" s="13"/>
      <c r="K41" s="13">
        <f>' Bảng nhập công'!J41</f>
        <v>0</v>
      </c>
      <c r="L41" s="13">
        <f>'Danh muc'!L41*'Bảng tính toán'!K41</f>
        <v>0</v>
      </c>
      <c r="M41" s="13"/>
      <c r="N41" s="13"/>
      <c r="O41" s="13">
        <f>'Danh muc'!$M41/26*' Bảng nhập công'!H41</f>
        <v>0</v>
      </c>
      <c r="P41" s="13"/>
      <c r="Q41" s="316">
        <f>IF((' Bảng nhập công'!$E41+' Bảng nhập công'!$F41)&gt;='Bảng tính toán'!$Q$6,'Bảng tính toán'!$Q$6,(' Bảng nhập công'!$E41+' Bảng nhập công'!$F41))</f>
        <v>0</v>
      </c>
      <c r="R41" s="25">
        <f>$Q41*'Danh muc'!$O41</f>
        <v>0</v>
      </c>
      <c r="S41" s="25">
        <f>'Danh muc'!N41</f>
        <v>5700000</v>
      </c>
      <c r="T41" s="22">
        <f>' Bảng nhập công'!DE41+' Bảng nhập công'!DF41</f>
        <v>0</v>
      </c>
      <c r="U41" s="25">
        <f>IF(OR(' Bảng nhập công'!DE41&gt;=3,' Bảng nhập công'!DF41&gt;=2),0,IF(OR(' Bảng nhập công'!DE41=2,' Bảng nhập công'!DF41=1),('Danh muc'!Q41/2),'Danh muc'!Q41))</f>
        <v>500000</v>
      </c>
      <c r="V41" s="22"/>
      <c r="W41" s="22">
        <f t="shared" si="2"/>
        <v>0</v>
      </c>
      <c r="X41" s="316"/>
      <c r="Y41" s="22"/>
      <c r="Z41" s="22">
        <f t="shared" si="3"/>
        <v>0</v>
      </c>
      <c r="AA41" s="25">
        <f t="shared" si="4"/>
        <v>192307.69230769231</v>
      </c>
      <c r="AB41" s="13">
        <f>'Danh muc'!S41</f>
        <v>250000</v>
      </c>
      <c r="AC41" s="22">
        <f>IF((' Bảng nhập công'!E41+' Bảng nhập công'!F41)&gt;'Bảng tính toán'!$Q$6,(' Bảng nhập công'!E41+' Bảng nhập công'!F41-'Bảng tính toán'!$Q$6),0)+' Bảng nhập công'!G41</f>
        <v>0</v>
      </c>
      <c r="AD41" s="229">
        <f>AC41*'Danh muc'!P41</f>
        <v>0</v>
      </c>
      <c r="AE41" s="23"/>
      <c r="AF41" s="22">
        <f>' Bảng nhập công'!$K41</f>
        <v>0</v>
      </c>
      <c r="AG41" s="229">
        <f>$AF41*'Danh muc'!$V41</f>
        <v>0</v>
      </c>
      <c r="AH41" s="23"/>
      <c r="AI41" s="23">
        <f>' Bảng nhập công'!$L41</f>
        <v>0</v>
      </c>
      <c r="AJ41" s="25">
        <f>$AI41*'Danh muc'!$U41</f>
        <v>0</v>
      </c>
      <c r="AK41" s="13"/>
      <c r="AL41" s="23">
        <f>' Bảng nhập công'!$M41</f>
        <v>0</v>
      </c>
      <c r="AM41" s="229">
        <f>$AL41*'Danh muc'!$T41</f>
        <v>0</v>
      </c>
      <c r="AN41" s="23"/>
      <c r="AO41" s="24">
        <f>' Bảng nhập công'!$DC41</f>
        <v>0</v>
      </c>
      <c r="AP41" s="230">
        <f>$AO41*'Danh muc'!$O41*8</f>
        <v>0</v>
      </c>
      <c r="AQ41" s="445"/>
      <c r="AR41" s="13">
        <f>' Bảng nhập công'!$DD41</f>
        <v>1</v>
      </c>
      <c r="AS41" s="25">
        <f>$AR41*'Danh muc'!$O41*8</f>
        <v>219230.76923076922</v>
      </c>
      <c r="AT41" s="13"/>
      <c r="AU41" s="13"/>
      <c r="AV41" s="13"/>
      <c r="AW41" s="25">
        <f t="shared" si="0"/>
        <v>0</v>
      </c>
      <c r="AX41" s="13"/>
      <c r="AY41" s="13"/>
      <c r="AZ41" s="25"/>
      <c r="BA41" s="25">
        <f t="shared" si="1"/>
        <v>0</v>
      </c>
      <c r="BB41" s="13"/>
      <c r="BC41" s="25"/>
      <c r="BD41" s="13"/>
      <c r="BE41" s="295"/>
      <c r="BF41" s="446"/>
      <c r="BG41" s="295"/>
      <c r="BH41" s="446"/>
      <c r="BI41" s="295"/>
      <c r="BJ41" s="446"/>
      <c r="BK41" s="295"/>
      <c r="BL41" s="448"/>
      <c r="BM41" s="295"/>
      <c r="BN41" s="446"/>
      <c r="BO41" s="317">
        <f t="shared" si="5"/>
        <v>911538.4615384615</v>
      </c>
      <c r="BP41" s="449">
        <f>'Danh muc'!$X41</f>
        <v>598500</v>
      </c>
      <c r="BQ41" s="322"/>
      <c r="BR41" s="449"/>
      <c r="BS41" s="322"/>
      <c r="BT41" s="449">
        <f>'Danh muc'!N41*0.5%</f>
        <v>28500</v>
      </c>
      <c r="BU41" s="322"/>
      <c r="BV41" s="319">
        <f>' Bảng nhập công'!DE41</f>
        <v>0</v>
      </c>
      <c r="BW41" s="27"/>
      <c r="BX41" s="320">
        <f>' Bảng nhập công'!DF41</f>
        <v>0</v>
      </c>
      <c r="BY41" s="27"/>
      <c r="BZ41" s="320"/>
      <c r="CA41" s="27"/>
      <c r="CB41" s="320"/>
      <c r="CC41" s="27"/>
      <c r="CD41" s="450"/>
      <c r="CE41" s="27"/>
      <c r="CF41" s="321">
        <f t="shared" si="6"/>
        <v>284000</v>
      </c>
      <c r="CG41" s="11" t="s">
        <v>131</v>
      </c>
      <c r="CH41" s="27">
        <f>'Danh muc'!$W41</f>
        <v>1225500</v>
      </c>
      <c r="CI41" s="280"/>
    </row>
    <row r="42" spans="1:87" s="1" customFormat="1" ht="19.5" customHeight="1">
      <c r="A42" s="12">
        <f>'Danh muc'!A42</f>
        <v>35</v>
      </c>
      <c r="B42" s="6">
        <f>'Danh muc'!B42</f>
        <v>24061900</v>
      </c>
      <c r="C42" s="11" t="str">
        <f>'Danh muc'!C42</f>
        <v>Lê Thị Hồng Hiếu</v>
      </c>
      <c r="D42" s="12" t="str">
        <f>'Danh muc'!E42</f>
        <v>Ngoại Quan</v>
      </c>
      <c r="E42" s="13">
        <f>' Bảng nhập công'!$H42</f>
        <v>0</v>
      </c>
      <c r="F42" s="13">
        <f>$E42*'Danh muc'!$H42</f>
        <v>0</v>
      </c>
      <c r="G42" s="13">
        <f>'Danh muc'!J42</f>
        <v>0</v>
      </c>
      <c r="H42" s="13"/>
      <c r="I42" s="13">
        <f>$H42*'Danh muc'!$I42</f>
        <v>0</v>
      </c>
      <c r="J42" s="13"/>
      <c r="K42" s="13">
        <f>' Bảng nhập công'!J42</f>
        <v>0</v>
      </c>
      <c r="L42" s="13">
        <f>'Danh muc'!L42*'Bảng tính toán'!K42</f>
        <v>0</v>
      </c>
      <c r="M42" s="13"/>
      <c r="N42" s="13"/>
      <c r="O42" s="13">
        <f>'Danh muc'!$M42/26*' Bảng nhập công'!H42</f>
        <v>0</v>
      </c>
      <c r="P42" s="13"/>
      <c r="Q42" s="316">
        <f>IF((' Bảng nhập công'!$E42+' Bảng nhập công'!$F42)&gt;='Bảng tính toán'!$Q$6,'Bảng tính toán'!$Q$6,(' Bảng nhập công'!$E42+' Bảng nhập công'!$F42))</f>
        <v>0</v>
      </c>
      <c r="R42" s="25">
        <f>$Q42*'Danh muc'!$O42</f>
        <v>0</v>
      </c>
      <c r="S42" s="25">
        <f>'Danh muc'!N42</f>
        <v>5800000</v>
      </c>
      <c r="T42" s="22">
        <f>' Bảng nhập công'!DE42+' Bảng nhập công'!DF42</f>
        <v>0</v>
      </c>
      <c r="U42" s="25">
        <f>IF(OR(' Bảng nhập công'!DE42&gt;=3,' Bảng nhập công'!DF42&gt;=2),0,IF(OR(' Bảng nhập công'!DE42=2,' Bảng nhập công'!DF42=1),('Danh muc'!Q42/2),'Danh muc'!Q42))</f>
        <v>500000</v>
      </c>
      <c r="V42" s="22"/>
      <c r="W42" s="22">
        <f t="shared" si="2"/>
        <v>0</v>
      </c>
      <c r="X42" s="316"/>
      <c r="Y42" s="22"/>
      <c r="Z42" s="22">
        <f t="shared" si="3"/>
        <v>0</v>
      </c>
      <c r="AA42" s="25">
        <f t="shared" si="4"/>
        <v>192307.69230769231</v>
      </c>
      <c r="AB42" s="13">
        <f>'Danh muc'!S42</f>
        <v>250000</v>
      </c>
      <c r="AC42" s="22">
        <f>IF((' Bảng nhập công'!E42+' Bảng nhập công'!F42)&gt;'Bảng tính toán'!$Q$4,(' Bảng nhập công'!E42+' Bảng nhập công'!F42-'Bảng tính toán'!$Q$4),0)+' Bảng nhập công'!G42</f>
        <v>0</v>
      </c>
      <c r="AD42" s="229">
        <f>AC42*'Danh muc'!P42</f>
        <v>0</v>
      </c>
      <c r="AE42" s="23"/>
      <c r="AF42" s="22">
        <f>' Bảng nhập công'!$K42</f>
        <v>0</v>
      </c>
      <c r="AG42" s="229">
        <f>$AF42*'Danh muc'!$V42</f>
        <v>0</v>
      </c>
      <c r="AH42" s="23"/>
      <c r="AI42" s="23">
        <f>' Bảng nhập công'!$L42</f>
        <v>0</v>
      </c>
      <c r="AJ42" s="25">
        <f>$AI42*'Danh muc'!$U42</f>
        <v>0</v>
      </c>
      <c r="AK42" s="13"/>
      <c r="AL42" s="23">
        <f>' Bảng nhập công'!$M42</f>
        <v>0</v>
      </c>
      <c r="AM42" s="229">
        <f>$AL42*'Danh muc'!$T42</f>
        <v>0</v>
      </c>
      <c r="AN42" s="23"/>
      <c r="AO42" s="24">
        <f>' Bảng nhập công'!$DC42</f>
        <v>0</v>
      </c>
      <c r="AP42" s="230">
        <f>$AO42*'Danh muc'!$O42*8</f>
        <v>0</v>
      </c>
      <c r="AQ42" s="445"/>
      <c r="AR42" s="13">
        <f>' Bảng nhập công'!$DD42</f>
        <v>1</v>
      </c>
      <c r="AS42" s="25">
        <f>$AR42*'Danh muc'!$O42*8</f>
        <v>223076.92307692306</v>
      </c>
      <c r="AT42" s="13"/>
      <c r="AU42" s="13"/>
      <c r="AV42" s="13"/>
      <c r="AW42" s="25">
        <f t="shared" si="0"/>
        <v>0</v>
      </c>
      <c r="AX42" s="13"/>
      <c r="AY42" s="13"/>
      <c r="AZ42" s="25"/>
      <c r="BA42" s="25">
        <f t="shared" si="1"/>
        <v>0</v>
      </c>
      <c r="BB42" s="13"/>
      <c r="BC42" s="25"/>
      <c r="BD42" s="13"/>
      <c r="BE42" s="295"/>
      <c r="BF42" s="446"/>
      <c r="BG42" s="295"/>
      <c r="BH42" s="446"/>
      <c r="BI42" s="295"/>
      <c r="BJ42" s="446"/>
      <c r="BK42" s="295"/>
      <c r="BL42" s="448"/>
      <c r="BM42" s="295"/>
      <c r="BN42" s="446"/>
      <c r="BO42" s="317">
        <f t="shared" si="5"/>
        <v>915384.61538461526</v>
      </c>
      <c r="BP42" s="449">
        <f>'Danh muc'!$X42</f>
        <v>609000</v>
      </c>
      <c r="BQ42" s="322"/>
      <c r="BR42" s="449"/>
      <c r="BS42" s="322"/>
      <c r="BT42" s="449">
        <f>'Danh muc'!N42*0.5%</f>
        <v>29000</v>
      </c>
      <c r="BU42" s="322"/>
      <c r="BV42" s="319">
        <f>' Bảng nhập công'!DE42</f>
        <v>0</v>
      </c>
      <c r="BW42" s="27"/>
      <c r="BX42" s="320">
        <f>' Bảng nhập công'!DF42</f>
        <v>0</v>
      </c>
      <c r="BY42" s="27"/>
      <c r="BZ42" s="320"/>
      <c r="CA42" s="27"/>
      <c r="CB42" s="320"/>
      <c r="CC42" s="27"/>
      <c r="CD42" s="450"/>
      <c r="CE42" s="27"/>
      <c r="CF42" s="321">
        <f t="shared" si="6"/>
        <v>277000</v>
      </c>
      <c r="CG42" s="11" t="s">
        <v>131</v>
      </c>
      <c r="CH42" s="27">
        <f>'Danh muc'!$W42</f>
        <v>1247000</v>
      </c>
      <c r="CI42" s="280"/>
    </row>
    <row r="43" spans="1:87" s="1" customFormat="1" ht="19.5" customHeight="1">
      <c r="A43" s="12">
        <f>'Danh muc'!A43</f>
        <v>36</v>
      </c>
      <c r="B43" s="6">
        <f>'Danh muc'!B43</f>
        <v>23071800</v>
      </c>
      <c r="C43" s="11" t="str">
        <f>'Danh muc'!C43</f>
        <v>Lê Minh Phát</v>
      </c>
      <c r="D43" s="12" t="str">
        <f>'Danh muc'!E43</f>
        <v>Sản xuất</v>
      </c>
      <c r="E43" s="13">
        <f>' Bảng nhập công'!$H43</f>
        <v>0</v>
      </c>
      <c r="F43" s="13">
        <f>$E43*'Danh muc'!$H43</f>
        <v>0</v>
      </c>
      <c r="G43" s="13">
        <f>'Danh muc'!J43</f>
        <v>0</v>
      </c>
      <c r="H43" s="13"/>
      <c r="I43" s="13"/>
      <c r="J43" s="13"/>
      <c r="K43" s="13">
        <f>' Bảng nhập công'!J43</f>
        <v>0</v>
      </c>
      <c r="L43" s="13">
        <f>'Danh muc'!L43*'Bảng tính toán'!K43</f>
        <v>0</v>
      </c>
      <c r="M43" s="13"/>
      <c r="N43" s="13"/>
      <c r="O43" s="13">
        <f>'Danh muc'!$M43/26*' Bảng nhập công'!H43</f>
        <v>0</v>
      </c>
      <c r="P43" s="13"/>
      <c r="Q43" s="316">
        <f>IF((' Bảng nhập công'!$E43+' Bảng nhập công'!$F43)&gt;='Bảng tính toán'!$Q$6,'Bảng tính toán'!$Q$6,(' Bảng nhập công'!$E43+' Bảng nhập công'!$F43))</f>
        <v>0</v>
      </c>
      <c r="R43" s="25">
        <f>$Q43*'Danh muc'!$O43</f>
        <v>0</v>
      </c>
      <c r="S43" s="25">
        <f>'Danh muc'!N43</f>
        <v>6100000</v>
      </c>
      <c r="T43" s="22">
        <f>' Bảng nhập công'!DE43+' Bảng nhập công'!DF43</f>
        <v>0</v>
      </c>
      <c r="U43" s="25">
        <f>IF(OR(' Bảng nhập công'!DE43&gt;=3,' Bảng nhập công'!DF43&gt;=2),0,IF(OR(' Bảng nhập công'!DE43=2,' Bảng nhập công'!DF43=1),('Danh muc'!Q43/2),'Danh muc'!Q43))</f>
        <v>500000</v>
      </c>
      <c r="V43" s="22"/>
      <c r="W43" s="22">
        <f t="shared" si="2"/>
        <v>0</v>
      </c>
      <c r="X43" s="316"/>
      <c r="Y43" s="22"/>
      <c r="Z43" s="22">
        <f t="shared" si="3"/>
        <v>0</v>
      </c>
      <c r="AA43" s="25">
        <f t="shared" si="4"/>
        <v>576923.07692307688</v>
      </c>
      <c r="AB43" s="13">
        <f>'Danh muc'!S43</f>
        <v>750000</v>
      </c>
      <c r="AC43" s="22">
        <f>IF((' Bảng nhập công'!E43+' Bảng nhập công'!F43)&gt;'Bảng tính toán'!$Q$6,(' Bảng nhập công'!E43+' Bảng nhập công'!F43-'Bảng tính toán'!$Q$6),0)+' Bảng nhập công'!G43</f>
        <v>0</v>
      </c>
      <c r="AD43" s="229">
        <f>AC43*'Danh muc'!P43</f>
        <v>0</v>
      </c>
      <c r="AE43" s="23"/>
      <c r="AF43" s="22">
        <f>' Bảng nhập công'!$K43</f>
        <v>0</v>
      </c>
      <c r="AG43" s="229">
        <f>$AF43*'Danh muc'!$V43</f>
        <v>0</v>
      </c>
      <c r="AH43" s="23"/>
      <c r="AI43" s="23">
        <f>' Bảng nhập công'!$L43</f>
        <v>0</v>
      </c>
      <c r="AJ43" s="25">
        <f>$AI43*'Danh muc'!$U43</f>
        <v>0</v>
      </c>
      <c r="AK43" s="13"/>
      <c r="AL43" s="23">
        <f>' Bảng nhập công'!$M43</f>
        <v>0</v>
      </c>
      <c r="AM43" s="229">
        <f>$AL43*'Danh muc'!$T43</f>
        <v>0</v>
      </c>
      <c r="AN43" s="23"/>
      <c r="AO43" s="24">
        <f>' Bảng nhập công'!$DC43</f>
        <v>0</v>
      </c>
      <c r="AP43" s="230">
        <f>$AO43*'Danh muc'!$O43*8</f>
        <v>0</v>
      </c>
      <c r="AQ43" s="445"/>
      <c r="AR43" s="13">
        <f>' Bảng nhập công'!$DD43</f>
        <v>1</v>
      </c>
      <c r="AS43" s="25">
        <f>$AR43*'Danh muc'!$O43*8</f>
        <v>234615.38461538462</v>
      </c>
      <c r="AT43" s="13"/>
      <c r="AU43" s="13"/>
      <c r="AV43" s="13"/>
      <c r="AW43" s="25">
        <f t="shared" si="0"/>
        <v>0</v>
      </c>
      <c r="AX43" s="13"/>
      <c r="AY43" s="13"/>
      <c r="AZ43" s="25"/>
      <c r="BA43" s="25">
        <f t="shared" si="1"/>
        <v>0</v>
      </c>
      <c r="BB43" s="13"/>
      <c r="BC43" s="25"/>
      <c r="BD43" s="13"/>
      <c r="BE43" s="295"/>
      <c r="BF43" s="446"/>
      <c r="BG43" s="295"/>
      <c r="BH43" s="446"/>
      <c r="BI43" s="295"/>
      <c r="BJ43" s="446"/>
      <c r="BK43" s="295"/>
      <c r="BL43" s="448"/>
      <c r="BM43" s="295"/>
      <c r="BN43" s="446"/>
      <c r="BO43" s="317">
        <f t="shared" si="5"/>
        <v>1311538.4615384615</v>
      </c>
      <c r="BP43" s="449">
        <f>'Danh muc'!$X43</f>
        <v>640500</v>
      </c>
      <c r="BQ43" s="322"/>
      <c r="BR43" s="449"/>
      <c r="BS43" s="322"/>
      <c r="BT43" s="449">
        <f>'Danh muc'!N43*0.5%</f>
        <v>30500</v>
      </c>
      <c r="BU43" s="322"/>
      <c r="BV43" s="319">
        <f>' Bảng nhập công'!DE43</f>
        <v>0</v>
      </c>
      <c r="BW43" s="27"/>
      <c r="BX43" s="320">
        <f>' Bảng nhập công'!DF43</f>
        <v>0</v>
      </c>
      <c r="BY43" s="27"/>
      <c r="BZ43" s="320"/>
      <c r="CA43" s="27"/>
      <c r="CB43" s="320"/>
      <c r="CC43" s="27"/>
      <c r="CD43" s="450"/>
      <c r="CE43" s="27"/>
      <c r="CF43" s="321">
        <f t="shared" si="6"/>
        <v>640000</v>
      </c>
      <c r="CG43" s="11" t="s">
        <v>131</v>
      </c>
      <c r="CH43" s="27">
        <f>'Danh muc'!$W43</f>
        <v>1311500</v>
      </c>
      <c r="CI43" s="280"/>
    </row>
    <row r="44" spans="1:87" s="1" customFormat="1" ht="19.5" customHeight="1">
      <c r="A44" s="12">
        <f>'Danh muc'!A44</f>
        <v>37</v>
      </c>
      <c r="B44" s="6">
        <f>'Danh muc'!B44</f>
        <v>23082200</v>
      </c>
      <c r="C44" s="11" t="str">
        <f>'Danh muc'!C44</f>
        <v>Hồ Sóng Vổ</v>
      </c>
      <c r="D44" s="12" t="str">
        <f>'Danh muc'!E44</f>
        <v>Sản xuất</v>
      </c>
      <c r="E44" s="13">
        <f>' Bảng nhập công'!$H44</f>
        <v>0</v>
      </c>
      <c r="F44" s="13">
        <f>$E44*'Danh muc'!$H44</f>
        <v>0</v>
      </c>
      <c r="G44" s="13">
        <f>'Danh muc'!J44</f>
        <v>0</v>
      </c>
      <c r="H44" s="13"/>
      <c r="I44" s="13">
        <f>$H44*'Danh muc'!$I44</f>
        <v>0</v>
      </c>
      <c r="J44" s="13"/>
      <c r="K44" s="13">
        <f>' Bảng nhập công'!J44</f>
        <v>0</v>
      </c>
      <c r="L44" s="13">
        <f>'Danh muc'!L44*'Bảng tính toán'!K44</f>
        <v>0</v>
      </c>
      <c r="M44" s="13"/>
      <c r="N44" s="13"/>
      <c r="O44" s="13">
        <f>'Danh muc'!$M44/26*' Bảng nhập công'!H44</f>
        <v>0</v>
      </c>
      <c r="P44" s="13"/>
      <c r="Q44" s="316">
        <f>IF((' Bảng nhập công'!$E44+' Bảng nhập công'!$F44)&gt;='Bảng tính toán'!$Q$6,'Bảng tính toán'!$Q$6,(' Bảng nhập công'!$E44+' Bảng nhập công'!$F44))</f>
        <v>0</v>
      </c>
      <c r="R44" s="25">
        <f>$Q44*'Danh muc'!$O44</f>
        <v>0</v>
      </c>
      <c r="S44" s="25">
        <f>'Danh muc'!N44</f>
        <v>6100000</v>
      </c>
      <c r="T44" s="22">
        <f>' Bảng nhập công'!DE44+' Bảng nhập công'!DF44</f>
        <v>0</v>
      </c>
      <c r="U44" s="25">
        <f>IF(OR(' Bảng nhập công'!DE44&gt;=3,' Bảng nhập công'!DF44&gt;=2),0,IF(OR(' Bảng nhập công'!DE44=2,' Bảng nhập công'!DF44=1),('Danh muc'!Q44/2),'Danh muc'!Q44))</f>
        <v>500000</v>
      </c>
      <c r="V44" s="22"/>
      <c r="W44" s="22">
        <f t="shared" si="2"/>
        <v>0</v>
      </c>
      <c r="X44" s="316"/>
      <c r="Y44" s="22"/>
      <c r="Z44" s="22">
        <f t="shared" si="3"/>
        <v>0</v>
      </c>
      <c r="AA44" s="25">
        <f t="shared" si="4"/>
        <v>576923.07692307688</v>
      </c>
      <c r="AB44" s="13">
        <f>'Danh muc'!S44</f>
        <v>750000</v>
      </c>
      <c r="AC44" s="22">
        <f>IF((' Bảng nhập công'!E44+' Bảng nhập công'!F44)&gt;'Bảng tính toán'!$Q$6,(' Bảng nhập công'!E44+' Bảng nhập công'!F44-'Bảng tính toán'!$Q$6),0)+' Bảng nhập công'!G44</f>
        <v>0</v>
      </c>
      <c r="AD44" s="229">
        <f>AC44*'Danh muc'!P44</f>
        <v>0</v>
      </c>
      <c r="AE44" s="23"/>
      <c r="AF44" s="22">
        <f>' Bảng nhập công'!$K44</f>
        <v>0</v>
      </c>
      <c r="AG44" s="229">
        <f>$AF44*'Danh muc'!$V44</f>
        <v>0</v>
      </c>
      <c r="AH44" s="23"/>
      <c r="AI44" s="23">
        <f>' Bảng nhập công'!$L44</f>
        <v>0</v>
      </c>
      <c r="AJ44" s="25">
        <f>$AI44*'Danh muc'!$U44</f>
        <v>0</v>
      </c>
      <c r="AK44" s="13"/>
      <c r="AL44" s="23">
        <f>' Bảng nhập công'!$M44</f>
        <v>0</v>
      </c>
      <c r="AM44" s="229">
        <f>$AL44*'Danh muc'!$T44</f>
        <v>0</v>
      </c>
      <c r="AN44" s="23"/>
      <c r="AO44" s="24">
        <f>' Bảng nhập công'!$DC44</f>
        <v>0</v>
      </c>
      <c r="AP44" s="230">
        <f>$AO44*'Danh muc'!$O44*8</f>
        <v>0</v>
      </c>
      <c r="AQ44" s="445"/>
      <c r="AR44" s="13">
        <f>' Bảng nhập công'!$DD44</f>
        <v>1</v>
      </c>
      <c r="AS44" s="25">
        <f>$AR44*'Danh muc'!$O44*8</f>
        <v>234615.38461538462</v>
      </c>
      <c r="AT44" s="13"/>
      <c r="AU44" s="13"/>
      <c r="AV44" s="13"/>
      <c r="AW44" s="25">
        <f t="shared" si="0"/>
        <v>0</v>
      </c>
      <c r="AX44" s="13"/>
      <c r="AY44" s="13"/>
      <c r="AZ44" s="25"/>
      <c r="BA44" s="25">
        <f t="shared" si="1"/>
        <v>0</v>
      </c>
      <c r="BB44" s="13"/>
      <c r="BC44" s="25"/>
      <c r="BD44" s="13"/>
      <c r="BE44" s="295"/>
      <c r="BF44" s="446"/>
      <c r="BG44" s="295"/>
      <c r="BH44" s="446"/>
      <c r="BI44" s="295"/>
      <c r="BJ44" s="446"/>
      <c r="BK44" s="295"/>
      <c r="BL44" s="448"/>
      <c r="BM44" s="295"/>
      <c r="BN44" s="446"/>
      <c r="BO44" s="317">
        <f t="shared" si="5"/>
        <v>1311538.4615384615</v>
      </c>
      <c r="BP44" s="449">
        <f>'Danh muc'!$X44</f>
        <v>640500</v>
      </c>
      <c r="BQ44" s="322"/>
      <c r="BR44" s="449"/>
      <c r="BS44" s="322"/>
      <c r="BT44" s="449">
        <f>'Danh muc'!N44*0.5%</f>
        <v>30500</v>
      </c>
      <c r="BU44" s="322"/>
      <c r="BV44" s="319">
        <f>' Bảng nhập công'!DE44</f>
        <v>0</v>
      </c>
      <c r="BW44" s="27"/>
      <c r="BX44" s="320">
        <f>' Bảng nhập công'!DF44</f>
        <v>0</v>
      </c>
      <c r="BY44" s="27"/>
      <c r="BZ44" s="320"/>
      <c r="CA44" s="27"/>
      <c r="CB44" s="320"/>
      <c r="CC44" s="27"/>
      <c r="CD44" s="450"/>
      <c r="CE44" s="27"/>
      <c r="CF44" s="321">
        <f t="shared" si="6"/>
        <v>640000</v>
      </c>
      <c r="CG44" s="11" t="s">
        <v>131</v>
      </c>
      <c r="CH44" s="27">
        <f>'Danh muc'!$W44</f>
        <v>1311500</v>
      </c>
      <c r="CI44" s="280"/>
    </row>
    <row r="45" spans="1:87" s="1" customFormat="1" ht="19.5" customHeight="1">
      <c r="A45" s="12">
        <f>'Danh muc'!A45</f>
        <v>38</v>
      </c>
      <c r="B45" s="6">
        <f>'Danh muc'!B45</f>
        <v>23081500</v>
      </c>
      <c r="C45" s="11" t="str">
        <f>'Danh muc'!C45</f>
        <v>Nguyễn Thị Nhớ</v>
      </c>
      <c r="D45" s="12" t="str">
        <f>'Danh muc'!E45</f>
        <v>Sản xuất</v>
      </c>
      <c r="E45" s="13">
        <f>' Bảng nhập công'!$H45</f>
        <v>0</v>
      </c>
      <c r="F45" s="13">
        <f>$E45*'Danh muc'!$H45</f>
        <v>0</v>
      </c>
      <c r="G45" s="13">
        <f>'Danh muc'!J45</f>
        <v>0</v>
      </c>
      <c r="H45" s="13"/>
      <c r="I45" s="13">
        <f>$H45*'Danh muc'!$I45</f>
        <v>0</v>
      </c>
      <c r="J45" s="13"/>
      <c r="K45" s="13">
        <f>' Bảng nhập công'!J45</f>
        <v>0</v>
      </c>
      <c r="L45" s="13">
        <f>'Danh muc'!L45*'Bảng tính toán'!K45</f>
        <v>0</v>
      </c>
      <c r="M45" s="13"/>
      <c r="N45" s="13"/>
      <c r="O45" s="13"/>
      <c r="P45" s="13"/>
      <c r="Q45" s="316">
        <f>IF((' Bảng nhập công'!$E45+' Bảng nhập công'!$F45)&gt;='Bảng tính toán'!$Q$6,'Bảng tính toán'!$Q$6,(' Bảng nhập công'!$E45+' Bảng nhập công'!$F45))</f>
        <v>0</v>
      </c>
      <c r="R45" s="25">
        <f>$Q45*'Danh muc'!$O45</f>
        <v>0</v>
      </c>
      <c r="S45" s="25">
        <f>'Danh muc'!N45</f>
        <v>5700000</v>
      </c>
      <c r="T45" s="22">
        <f>' Bảng nhập công'!DE45+' Bảng nhập công'!DF45</f>
        <v>0</v>
      </c>
      <c r="U45" s="25">
        <f>IF(OR(' Bảng nhập công'!DE45&gt;=3,' Bảng nhập công'!DF45&gt;=2),0,IF(OR(' Bảng nhập công'!DE45=2,' Bảng nhập công'!DF45=1),('Danh muc'!Q45/2),'Danh muc'!Q45))</f>
        <v>500000</v>
      </c>
      <c r="V45" s="22"/>
      <c r="W45" s="22">
        <f t="shared" si="2"/>
        <v>0</v>
      </c>
      <c r="X45" s="316"/>
      <c r="Y45" s="22"/>
      <c r="Z45" s="22">
        <f t="shared" si="3"/>
        <v>0</v>
      </c>
      <c r="AA45" s="25">
        <f t="shared" si="4"/>
        <v>153846.15384615384</v>
      </c>
      <c r="AB45" s="13">
        <f>'Danh muc'!S45</f>
        <v>200000</v>
      </c>
      <c r="AC45" s="22">
        <f>IF((' Bảng nhập công'!E45+' Bảng nhập công'!F45)&gt;'Bảng tính toán'!$Q$6,(' Bảng nhập công'!E45+' Bảng nhập công'!F45-'Bảng tính toán'!$Q$6),0)+' Bảng nhập công'!G45</f>
        <v>0</v>
      </c>
      <c r="AD45" s="229">
        <f>AC45*'Danh muc'!P45</f>
        <v>0</v>
      </c>
      <c r="AE45" s="23"/>
      <c r="AF45" s="22">
        <f>' Bảng nhập công'!$K45</f>
        <v>0</v>
      </c>
      <c r="AG45" s="229">
        <f>$AF45*'Danh muc'!$V45</f>
        <v>0</v>
      </c>
      <c r="AH45" s="23"/>
      <c r="AI45" s="23">
        <f>' Bảng nhập công'!$L45</f>
        <v>0</v>
      </c>
      <c r="AJ45" s="25">
        <f>$AI45*'Danh muc'!$U45</f>
        <v>0</v>
      </c>
      <c r="AK45" s="13"/>
      <c r="AL45" s="23">
        <f>' Bảng nhập công'!$M45</f>
        <v>0</v>
      </c>
      <c r="AM45" s="229">
        <f>$AL45*'Danh muc'!$T45</f>
        <v>0</v>
      </c>
      <c r="AN45" s="23"/>
      <c r="AO45" s="24">
        <f>' Bảng nhập công'!$DC45</f>
        <v>0</v>
      </c>
      <c r="AP45" s="230">
        <f>$AO45*'Danh muc'!$O45*8</f>
        <v>0</v>
      </c>
      <c r="AQ45" s="445"/>
      <c r="AR45" s="13">
        <f>' Bảng nhập công'!$DD45</f>
        <v>1</v>
      </c>
      <c r="AS45" s="25">
        <f>$AR45*'Danh muc'!$O45*8</f>
        <v>219230.76923076922</v>
      </c>
      <c r="AT45" s="13"/>
      <c r="AU45" s="13"/>
      <c r="AV45" s="13"/>
      <c r="AW45" s="25">
        <f t="shared" si="0"/>
        <v>0</v>
      </c>
      <c r="AX45" s="13"/>
      <c r="AY45" s="13"/>
      <c r="AZ45" s="25"/>
      <c r="BA45" s="25">
        <f t="shared" si="1"/>
        <v>0</v>
      </c>
      <c r="BB45" s="13"/>
      <c r="BC45" s="25"/>
      <c r="BD45" s="13"/>
      <c r="BE45" s="295"/>
      <c r="BF45" s="446"/>
      <c r="BG45" s="295"/>
      <c r="BH45" s="446"/>
      <c r="BI45" s="295"/>
      <c r="BJ45" s="446"/>
      <c r="BK45" s="295"/>
      <c r="BL45" s="448"/>
      <c r="BM45" s="295"/>
      <c r="BN45" s="446"/>
      <c r="BO45" s="317">
        <f t="shared" si="5"/>
        <v>873076.92307692312</v>
      </c>
      <c r="BP45" s="449">
        <f>'Danh muc'!$X45</f>
        <v>598500</v>
      </c>
      <c r="BQ45" s="322"/>
      <c r="BR45" s="449"/>
      <c r="BS45" s="322"/>
      <c r="BT45" s="449">
        <f>'Danh muc'!N45*0.5%</f>
        <v>28500</v>
      </c>
      <c r="BU45" s="322"/>
      <c r="BV45" s="319">
        <f>' Bảng nhập công'!DE45</f>
        <v>0</v>
      </c>
      <c r="BW45" s="27"/>
      <c r="BX45" s="320">
        <f>' Bảng nhập công'!DF45</f>
        <v>0</v>
      </c>
      <c r="BY45" s="27"/>
      <c r="BZ45" s="320"/>
      <c r="CA45" s="27"/>
      <c r="CB45" s="320"/>
      <c r="CC45" s="27"/>
      <c r="CD45" s="450"/>
      <c r="CE45" s="27"/>
      <c r="CF45" s="321">
        <f t="shared" si="6"/>
        <v>246000</v>
      </c>
      <c r="CG45" s="11" t="s">
        <v>131</v>
      </c>
      <c r="CH45" s="27">
        <f>'Danh muc'!$W45</f>
        <v>1225500</v>
      </c>
      <c r="CI45" s="280"/>
    </row>
    <row r="46" spans="1:87" s="1" customFormat="1" ht="19.5" customHeight="1">
      <c r="A46" s="12">
        <f>'Danh muc'!A46</f>
        <v>39</v>
      </c>
      <c r="B46" s="6">
        <f>'Danh muc'!B46</f>
        <v>24061301</v>
      </c>
      <c r="C46" s="11" t="str">
        <f>'Danh muc'!C46</f>
        <v>Hồ Văn Tùng</v>
      </c>
      <c r="D46" s="12" t="str">
        <f>'Danh muc'!E46</f>
        <v>Sản xuất</v>
      </c>
      <c r="E46" s="13">
        <f>' Bảng nhập công'!$H46</f>
        <v>0</v>
      </c>
      <c r="F46" s="13">
        <f>$E46*'Danh muc'!$H46</f>
        <v>0</v>
      </c>
      <c r="G46" s="13">
        <f>'Danh muc'!J46</f>
        <v>0</v>
      </c>
      <c r="H46" s="13"/>
      <c r="I46" s="13">
        <f>$H46*'Danh muc'!$I46</f>
        <v>0</v>
      </c>
      <c r="J46" s="13"/>
      <c r="K46" s="13">
        <f>' Bảng nhập công'!J46</f>
        <v>0</v>
      </c>
      <c r="L46" s="13">
        <f>'Danh muc'!L46*'Bảng tính toán'!K46</f>
        <v>0</v>
      </c>
      <c r="M46" s="13"/>
      <c r="N46" s="13"/>
      <c r="O46" s="13"/>
      <c r="P46" s="13"/>
      <c r="Q46" s="316">
        <f>IF((' Bảng nhập công'!$E46+' Bảng nhập công'!$F46)&gt;='Bảng tính toán'!$Q$6,'Bảng tính toán'!$Q$6,(' Bảng nhập công'!$E46+' Bảng nhập công'!$F46))</f>
        <v>0</v>
      </c>
      <c r="R46" s="25">
        <f>$Q46*'Danh muc'!$O46</f>
        <v>0</v>
      </c>
      <c r="S46" s="25">
        <f>'Danh muc'!N46</f>
        <v>5700000</v>
      </c>
      <c r="T46" s="22">
        <f>' Bảng nhập công'!DE46+' Bảng nhập công'!DF46</f>
        <v>0</v>
      </c>
      <c r="U46" s="25">
        <f>IF(OR(' Bảng nhập công'!DE46&gt;=3,' Bảng nhập công'!DF46&gt;=2),0,IF(OR(' Bảng nhập công'!DE46=2,' Bảng nhập công'!DF46=1),('Danh muc'!Q46/2),'Danh muc'!Q46))</f>
        <v>500000</v>
      </c>
      <c r="V46" s="22"/>
      <c r="W46" s="22">
        <f t="shared" si="2"/>
        <v>0</v>
      </c>
      <c r="X46" s="316"/>
      <c r="Y46" s="22"/>
      <c r="Z46" s="22">
        <f t="shared" si="3"/>
        <v>0</v>
      </c>
      <c r="AA46" s="25">
        <f t="shared" si="4"/>
        <v>538461.5384615385</v>
      </c>
      <c r="AB46" s="13">
        <f>'Danh muc'!S46</f>
        <v>700000</v>
      </c>
      <c r="AC46" s="22">
        <f>IF((' Bảng nhập công'!E46+' Bảng nhập công'!F46)&gt;'Bảng tính toán'!$Q$6,(' Bảng nhập công'!E46+' Bảng nhập công'!F46-'Bảng tính toán'!$Q$6),0)+' Bảng nhập công'!G46</f>
        <v>0</v>
      </c>
      <c r="AD46" s="229">
        <f>AC46*'Danh muc'!P46</f>
        <v>0</v>
      </c>
      <c r="AE46" s="23"/>
      <c r="AF46" s="22">
        <f>' Bảng nhập công'!$K46</f>
        <v>0</v>
      </c>
      <c r="AG46" s="229">
        <f>$AF46*'Danh muc'!$V46</f>
        <v>0</v>
      </c>
      <c r="AH46" s="23"/>
      <c r="AI46" s="23">
        <f>' Bảng nhập công'!$L46</f>
        <v>0</v>
      </c>
      <c r="AJ46" s="25">
        <f>$AI46*'Danh muc'!$U46</f>
        <v>0</v>
      </c>
      <c r="AK46" s="13"/>
      <c r="AL46" s="23">
        <f>' Bảng nhập công'!$M46</f>
        <v>0</v>
      </c>
      <c r="AM46" s="229">
        <f>$AL46*'Danh muc'!$T46</f>
        <v>0</v>
      </c>
      <c r="AN46" s="23"/>
      <c r="AO46" s="24">
        <f>' Bảng nhập công'!$DC46</f>
        <v>0</v>
      </c>
      <c r="AP46" s="230">
        <f>$AO46*'Danh muc'!$O46*8</f>
        <v>0</v>
      </c>
      <c r="AQ46" s="445"/>
      <c r="AR46" s="13">
        <f>' Bảng nhập công'!$DD46</f>
        <v>1</v>
      </c>
      <c r="AS46" s="25">
        <f>$AR46*'Danh muc'!$O46*8</f>
        <v>219230.76923076922</v>
      </c>
      <c r="AT46" s="13"/>
      <c r="AU46" s="13"/>
      <c r="AV46" s="13"/>
      <c r="AW46" s="25">
        <f t="shared" si="0"/>
        <v>0</v>
      </c>
      <c r="AX46" s="13"/>
      <c r="AY46" s="13"/>
      <c r="AZ46" s="25"/>
      <c r="BA46" s="25">
        <f t="shared" si="1"/>
        <v>0</v>
      </c>
      <c r="BB46" s="13"/>
      <c r="BC46" s="25"/>
      <c r="BD46" s="13"/>
      <c r="BE46" s="295"/>
      <c r="BF46" s="446"/>
      <c r="BG46" s="295"/>
      <c r="BH46" s="446"/>
      <c r="BI46" s="295"/>
      <c r="BJ46" s="446"/>
      <c r="BK46" s="295"/>
      <c r="BL46" s="448"/>
      <c r="BM46" s="295"/>
      <c r="BN46" s="446"/>
      <c r="BO46" s="317">
        <f t="shared" si="5"/>
        <v>1257692.3076923077</v>
      </c>
      <c r="BP46" s="449">
        <f>'Danh muc'!$X46</f>
        <v>598500</v>
      </c>
      <c r="BQ46" s="322"/>
      <c r="BR46" s="449"/>
      <c r="BS46" s="322"/>
      <c r="BT46" s="449">
        <f>'Danh muc'!N46*0.5%</f>
        <v>28500</v>
      </c>
      <c r="BU46" s="322"/>
      <c r="BV46" s="319">
        <f>' Bảng nhập công'!DE46</f>
        <v>0</v>
      </c>
      <c r="BW46" s="27"/>
      <c r="BX46" s="320">
        <f>' Bảng nhập công'!DF46</f>
        <v>0</v>
      </c>
      <c r="BY46" s="27"/>
      <c r="BZ46" s="320"/>
      <c r="CA46" s="27"/>
      <c r="CB46" s="320"/>
      <c r="CC46" s="27"/>
      <c r="CD46" s="450"/>
      <c r="CE46" s="27"/>
      <c r="CF46" s="321">
        <f t="shared" si="6"/>
        <v>630000</v>
      </c>
      <c r="CG46" s="11" t="s">
        <v>131</v>
      </c>
      <c r="CH46" s="27">
        <f>'Danh muc'!$W46</f>
        <v>1225500</v>
      </c>
      <c r="CI46" s="280"/>
    </row>
    <row r="47" spans="1:87" s="1" customFormat="1" ht="19.5" customHeight="1">
      <c r="A47" s="12">
        <f>'Danh muc'!A47</f>
        <v>40</v>
      </c>
      <c r="B47" s="6">
        <f>'Danh muc'!B47</f>
        <v>22072300</v>
      </c>
      <c r="C47" s="11" t="str">
        <f>'Danh muc'!C47</f>
        <v>Hồ Thị Ngọc Hiền</v>
      </c>
      <c r="D47" s="12" t="str">
        <f>'Danh muc'!E47</f>
        <v>Sản xuất</v>
      </c>
      <c r="E47" s="13">
        <f>' Bảng nhập công'!$H47</f>
        <v>0</v>
      </c>
      <c r="F47" s="13">
        <f>$E47*'Danh muc'!$H47</f>
        <v>0</v>
      </c>
      <c r="G47" s="13">
        <f>'Danh muc'!J47</f>
        <v>0</v>
      </c>
      <c r="H47" s="13"/>
      <c r="I47" s="13">
        <f>$H47*'Danh muc'!$I47</f>
        <v>0</v>
      </c>
      <c r="J47" s="13"/>
      <c r="K47" s="13">
        <f>' Bảng nhập công'!J47</f>
        <v>0</v>
      </c>
      <c r="L47" s="13">
        <f>'Danh muc'!L47*'Bảng tính toán'!K47</f>
        <v>0</v>
      </c>
      <c r="M47" s="13"/>
      <c r="N47" s="13"/>
      <c r="O47" s="13"/>
      <c r="P47" s="13"/>
      <c r="Q47" s="316">
        <f>IF((' Bảng nhập công'!$E47+' Bảng nhập công'!$F47)&gt;='Bảng tính toán'!$Q$6,'Bảng tính toán'!$Q$6,(' Bảng nhập công'!$E47+' Bảng nhập công'!$F47))</f>
        <v>0</v>
      </c>
      <c r="R47" s="25">
        <f>$Q47*'Danh muc'!$O47</f>
        <v>0</v>
      </c>
      <c r="S47" s="25">
        <f>'Danh muc'!N47</f>
        <v>6100000</v>
      </c>
      <c r="T47" s="22">
        <f>' Bảng nhập công'!DE47+' Bảng nhập công'!DF47</f>
        <v>0</v>
      </c>
      <c r="U47" s="25">
        <f>IF(OR(' Bảng nhập công'!DE47&gt;=3,' Bảng nhập công'!DF47&gt;=2),0,IF(OR(' Bảng nhập công'!DE47=2,' Bảng nhập công'!DF47=1),('Danh muc'!Q47/2),'Danh muc'!Q47))</f>
        <v>500000</v>
      </c>
      <c r="V47" s="22"/>
      <c r="W47" s="22">
        <f t="shared" si="2"/>
        <v>0</v>
      </c>
      <c r="X47" s="316"/>
      <c r="Y47" s="22"/>
      <c r="Z47" s="22">
        <f t="shared" si="3"/>
        <v>0</v>
      </c>
      <c r="AA47" s="25">
        <f t="shared" si="4"/>
        <v>615384.61538461538</v>
      </c>
      <c r="AB47" s="13">
        <f>'Danh muc'!S47</f>
        <v>800000</v>
      </c>
      <c r="AC47" s="22">
        <f>IF((' Bảng nhập công'!E47+' Bảng nhập công'!F47)&gt;'Bảng tính toán'!$Q$6,(' Bảng nhập công'!E47+' Bảng nhập công'!F47-'Bảng tính toán'!$Q$6),0)+' Bảng nhập công'!G47</f>
        <v>0</v>
      </c>
      <c r="AD47" s="229">
        <f>AC47*'Danh muc'!P47</f>
        <v>0</v>
      </c>
      <c r="AE47" s="23"/>
      <c r="AF47" s="22">
        <f>' Bảng nhập công'!$K47</f>
        <v>0</v>
      </c>
      <c r="AG47" s="229">
        <f>$AF47*'Danh muc'!$V47</f>
        <v>0</v>
      </c>
      <c r="AH47" s="23"/>
      <c r="AI47" s="23">
        <f>' Bảng nhập công'!$L47</f>
        <v>0</v>
      </c>
      <c r="AJ47" s="25">
        <f>$AI47*'Danh muc'!$U47</f>
        <v>0</v>
      </c>
      <c r="AK47" s="13"/>
      <c r="AL47" s="23">
        <f>' Bảng nhập công'!$M47</f>
        <v>0</v>
      </c>
      <c r="AM47" s="229">
        <f>$AL47*'Danh muc'!$T47</f>
        <v>0</v>
      </c>
      <c r="AN47" s="23"/>
      <c r="AO47" s="24">
        <f>' Bảng nhập công'!$DC47</f>
        <v>0</v>
      </c>
      <c r="AP47" s="230">
        <f>$AO47*'Danh muc'!$O47*8</f>
        <v>0</v>
      </c>
      <c r="AQ47" s="445"/>
      <c r="AR47" s="13">
        <f>' Bảng nhập công'!$DD47</f>
        <v>1</v>
      </c>
      <c r="AS47" s="25">
        <f>$AR47*'Danh muc'!$O47*8</f>
        <v>234615.38461538462</v>
      </c>
      <c r="AT47" s="13"/>
      <c r="AU47" s="13"/>
      <c r="AV47" s="13"/>
      <c r="AW47" s="25">
        <f t="shared" si="0"/>
        <v>0</v>
      </c>
      <c r="AX47" s="13"/>
      <c r="AY47" s="13"/>
      <c r="AZ47" s="25"/>
      <c r="BA47" s="25">
        <f t="shared" si="1"/>
        <v>0</v>
      </c>
      <c r="BB47" s="13"/>
      <c r="BC47" s="25"/>
      <c r="BD47" s="13"/>
      <c r="BE47" s="295"/>
      <c r="BF47" s="446"/>
      <c r="BG47" s="295"/>
      <c r="BH47" s="446"/>
      <c r="BI47" s="295"/>
      <c r="BJ47" s="446"/>
      <c r="BK47" s="295"/>
      <c r="BL47" s="448"/>
      <c r="BM47" s="295"/>
      <c r="BN47" s="446"/>
      <c r="BO47" s="317">
        <f t="shared" si="5"/>
        <v>1350000</v>
      </c>
      <c r="BP47" s="449">
        <f>'Danh muc'!$X47</f>
        <v>640500</v>
      </c>
      <c r="BQ47" s="322"/>
      <c r="BR47" s="449"/>
      <c r="BS47" s="322"/>
      <c r="BT47" s="449">
        <f>'Danh muc'!N47*0.5%</f>
        <v>30500</v>
      </c>
      <c r="BU47" s="322"/>
      <c r="BV47" s="319">
        <f>' Bảng nhập công'!DE47</f>
        <v>0</v>
      </c>
      <c r="BW47" s="27"/>
      <c r="BX47" s="320">
        <f>' Bảng nhập công'!DF47</f>
        <v>0</v>
      </c>
      <c r="BY47" s="27"/>
      <c r="BZ47" s="320"/>
      <c r="CA47" s="27"/>
      <c r="CB47" s="320"/>
      <c r="CC47" s="27"/>
      <c r="CD47" s="450"/>
      <c r="CE47" s="27"/>
      <c r="CF47" s="321">
        <f t="shared" si="6"/>
        <v>679000</v>
      </c>
      <c r="CG47" s="11" t="s">
        <v>131</v>
      </c>
      <c r="CH47" s="27">
        <f>'Danh muc'!$W47</f>
        <v>1311500</v>
      </c>
      <c r="CI47" s="280"/>
    </row>
    <row r="48" spans="1:87" s="1" customFormat="1" ht="19.5" customHeight="1">
      <c r="A48" s="12">
        <f>'Danh muc'!A48</f>
        <v>41</v>
      </c>
      <c r="B48" s="6">
        <f>'Danh muc'!B48</f>
        <v>22103100</v>
      </c>
      <c r="C48" s="11" t="str">
        <f>'Danh muc'!C48</f>
        <v>Nguyễn Duy Linh</v>
      </c>
      <c r="D48" s="12" t="str">
        <f>'Danh muc'!E48</f>
        <v>Sản xuất</v>
      </c>
      <c r="E48" s="13">
        <f>' Bảng nhập công'!$H48</f>
        <v>0</v>
      </c>
      <c r="F48" s="13">
        <f>$E48*'Danh muc'!$H48</f>
        <v>0</v>
      </c>
      <c r="G48" s="13">
        <f>'Danh muc'!J48</f>
        <v>0</v>
      </c>
      <c r="H48" s="13"/>
      <c r="I48" s="13">
        <f>$H48*'Danh muc'!$I48</f>
        <v>0</v>
      </c>
      <c r="J48" s="13"/>
      <c r="K48" s="13">
        <f>' Bảng nhập công'!J48</f>
        <v>0</v>
      </c>
      <c r="L48" s="13">
        <f>'Danh muc'!L48*'Bảng tính toán'!K48</f>
        <v>0</v>
      </c>
      <c r="M48" s="13"/>
      <c r="N48" s="13"/>
      <c r="O48" s="13"/>
      <c r="P48" s="13"/>
      <c r="Q48" s="316">
        <f>IF((' Bảng nhập công'!$E48+' Bảng nhập công'!$F48)&gt;='Bảng tính toán'!$Q$6,'Bảng tính toán'!$Q$6,(' Bảng nhập công'!$E48+' Bảng nhập công'!$F48))</f>
        <v>0</v>
      </c>
      <c r="R48" s="25">
        <f>$Q48*'Danh muc'!$O48</f>
        <v>0</v>
      </c>
      <c r="S48" s="25">
        <f>'Danh muc'!N48</f>
        <v>5900000</v>
      </c>
      <c r="T48" s="22">
        <f>' Bảng nhập công'!DE48+' Bảng nhập công'!DF48</f>
        <v>0</v>
      </c>
      <c r="U48" s="25">
        <f>IF(OR(' Bảng nhập công'!DE48&gt;=3,' Bảng nhập công'!DF48&gt;=2),0,IF(OR(' Bảng nhập công'!DE48=2,' Bảng nhập công'!DF48=1),('Danh muc'!Q48/2),'Danh muc'!Q48))</f>
        <v>500000</v>
      </c>
      <c r="V48" s="22"/>
      <c r="W48" s="22">
        <f t="shared" si="2"/>
        <v>0</v>
      </c>
      <c r="X48" s="316"/>
      <c r="Y48" s="22"/>
      <c r="Z48" s="22">
        <f t="shared" si="3"/>
        <v>0</v>
      </c>
      <c r="AA48" s="25">
        <f t="shared" si="4"/>
        <v>269230.76923076925</v>
      </c>
      <c r="AB48" s="13">
        <f>'Danh muc'!S48</f>
        <v>350000</v>
      </c>
      <c r="AC48" s="22">
        <f>IF((' Bảng nhập công'!E48+' Bảng nhập công'!F48)&gt;'Bảng tính toán'!$Q$6,(' Bảng nhập công'!E48+' Bảng nhập công'!F48-'Bảng tính toán'!$Q$6),0)+' Bảng nhập công'!G48</f>
        <v>0</v>
      </c>
      <c r="AD48" s="229">
        <f>AC48*'Danh muc'!P48</f>
        <v>0</v>
      </c>
      <c r="AE48" s="23"/>
      <c r="AF48" s="22">
        <f>' Bảng nhập công'!$K48</f>
        <v>0</v>
      </c>
      <c r="AG48" s="229">
        <f>$AF48*'Danh muc'!$V48</f>
        <v>0</v>
      </c>
      <c r="AH48" s="23"/>
      <c r="AI48" s="23">
        <f>' Bảng nhập công'!$L48</f>
        <v>0</v>
      </c>
      <c r="AJ48" s="25">
        <f>$AI48*'Danh muc'!$U48</f>
        <v>0</v>
      </c>
      <c r="AK48" s="13"/>
      <c r="AL48" s="23">
        <f>' Bảng nhập công'!$M48</f>
        <v>0</v>
      </c>
      <c r="AM48" s="229">
        <f>$AL48*'Danh muc'!$T48</f>
        <v>0</v>
      </c>
      <c r="AN48" s="23"/>
      <c r="AO48" s="24">
        <f>' Bảng nhập công'!$DC48</f>
        <v>0</v>
      </c>
      <c r="AP48" s="230">
        <f>$AO48*'Danh muc'!$O48*8</f>
        <v>0</v>
      </c>
      <c r="AQ48" s="445"/>
      <c r="AR48" s="13">
        <f>' Bảng nhập công'!$DD48</f>
        <v>1</v>
      </c>
      <c r="AS48" s="25">
        <f>$AR48*'Danh muc'!$O48*8</f>
        <v>226923.07692307694</v>
      </c>
      <c r="AT48" s="13"/>
      <c r="AU48" s="13"/>
      <c r="AV48" s="13"/>
      <c r="AW48" s="25">
        <f t="shared" si="0"/>
        <v>0</v>
      </c>
      <c r="AX48" s="13"/>
      <c r="AY48" s="13"/>
      <c r="AZ48" s="25"/>
      <c r="BA48" s="25">
        <f t="shared" si="1"/>
        <v>0</v>
      </c>
      <c r="BB48" s="13"/>
      <c r="BC48" s="25"/>
      <c r="BD48" s="13"/>
      <c r="BE48" s="295"/>
      <c r="BF48" s="446"/>
      <c r="BG48" s="295"/>
      <c r="BH48" s="446"/>
      <c r="BI48" s="295"/>
      <c r="BJ48" s="446"/>
      <c r="BK48" s="295"/>
      <c r="BL48" s="448"/>
      <c r="BM48" s="295"/>
      <c r="BN48" s="446"/>
      <c r="BO48" s="317">
        <f t="shared" si="5"/>
        <v>996153.84615384624</v>
      </c>
      <c r="BP48" s="449">
        <f>'Danh muc'!$X48</f>
        <v>619500</v>
      </c>
      <c r="BQ48" s="322"/>
      <c r="BR48" s="449"/>
      <c r="BS48" s="322"/>
      <c r="BT48" s="449">
        <f>'Danh muc'!N48*0.5%</f>
        <v>29500</v>
      </c>
      <c r="BU48" s="322"/>
      <c r="BV48" s="319">
        <f>' Bảng nhập công'!DE48</f>
        <v>0</v>
      </c>
      <c r="BW48" s="27"/>
      <c r="BX48" s="320">
        <f>' Bảng nhập công'!DF48</f>
        <v>0</v>
      </c>
      <c r="BY48" s="27"/>
      <c r="BZ48" s="320"/>
      <c r="CA48" s="27"/>
      <c r="CB48" s="320"/>
      <c r="CC48" s="27"/>
      <c r="CD48" s="450"/>
      <c r="CE48" s="27"/>
      <c r="CF48" s="321">
        <f t="shared" si="6"/>
        <v>347000</v>
      </c>
      <c r="CG48" s="11" t="s">
        <v>131</v>
      </c>
      <c r="CH48" s="27">
        <f>'Danh muc'!$W48</f>
        <v>1268500</v>
      </c>
      <c r="CI48" s="280"/>
    </row>
    <row r="49" spans="1:87" s="1" customFormat="1" ht="19.5" customHeight="1">
      <c r="A49" s="12">
        <f>'Danh muc'!A49</f>
        <v>42</v>
      </c>
      <c r="B49" s="6">
        <f>'Danh muc'!B49</f>
        <v>25062300</v>
      </c>
      <c r="C49" s="344" t="str">
        <f>'Danh muc'!C49</f>
        <v>Nguyễn Thị Kim Anh</v>
      </c>
      <c r="D49" s="12" t="str">
        <f>'Danh muc'!E49</f>
        <v>Ngoại Quan</v>
      </c>
      <c r="E49" s="13">
        <f>' Bảng nhập công'!$H49</f>
        <v>0</v>
      </c>
      <c r="F49" s="13">
        <f>$E49*'Danh muc'!$H49</f>
        <v>0</v>
      </c>
      <c r="G49" s="13">
        <f>'Danh muc'!J49</f>
        <v>0</v>
      </c>
      <c r="H49" s="13"/>
      <c r="I49" s="13">
        <f>$H49*'Danh muc'!$I49</f>
        <v>0</v>
      </c>
      <c r="J49" s="13"/>
      <c r="K49" s="13">
        <f>' Bảng nhập công'!J49</f>
        <v>0</v>
      </c>
      <c r="L49" s="13">
        <f>'Danh muc'!L49*'Bảng tính toán'!K49</f>
        <v>0</v>
      </c>
      <c r="M49" s="13"/>
      <c r="N49" s="13"/>
      <c r="O49" s="13"/>
      <c r="P49" s="13"/>
      <c r="Q49" s="316">
        <f>IF((' Bảng nhập công'!$E49+' Bảng nhập công'!$F49)&gt;='Bảng tính toán'!$Q$6,'Bảng tính toán'!$Q$6,(' Bảng nhập công'!$E49+' Bảng nhập công'!$F49))</f>
        <v>0</v>
      </c>
      <c r="R49" s="25">
        <f>$Q49*'Danh muc'!$O49</f>
        <v>0</v>
      </c>
      <c r="S49" s="25">
        <f>'Danh muc'!N49</f>
        <v>5310000</v>
      </c>
      <c r="T49" s="22">
        <f>' Bảng nhập công'!DE49+' Bảng nhập công'!DF49</f>
        <v>0</v>
      </c>
      <c r="U49" s="25">
        <f>IF(OR(' Bảng nhập công'!DE49&gt;=3,' Bảng nhập công'!DF49&gt;=2),0,IF(OR(' Bảng nhập công'!DE49=2,' Bảng nhập công'!DF49=1),('Danh muc'!Q49/2),'Danh muc'!Q49))</f>
        <v>500000</v>
      </c>
      <c r="V49" s="22"/>
      <c r="W49" s="22">
        <f t="shared" si="2"/>
        <v>0</v>
      </c>
      <c r="X49" s="316"/>
      <c r="Y49" s="22"/>
      <c r="Z49" s="22">
        <f t="shared" si="3"/>
        <v>0</v>
      </c>
      <c r="AA49" s="25">
        <f t="shared" si="4"/>
        <v>38461.538461538461</v>
      </c>
      <c r="AB49" s="13">
        <f>'Danh muc'!S49</f>
        <v>50000</v>
      </c>
      <c r="AC49" s="22">
        <f>IF((' Bảng nhập công'!E49+' Bảng nhập công'!F49)&gt;'Bảng tính toán'!$Q$6,(' Bảng nhập công'!E49+' Bảng nhập công'!F49-'Bảng tính toán'!$Q$6),0)+' Bảng nhập công'!G49</f>
        <v>0</v>
      </c>
      <c r="AD49" s="229">
        <f>AC49*'Danh muc'!P49</f>
        <v>0</v>
      </c>
      <c r="AE49" s="23"/>
      <c r="AF49" s="22">
        <f>' Bảng nhập công'!$K49</f>
        <v>0</v>
      </c>
      <c r="AG49" s="229">
        <f>$AF49*'Danh muc'!$V49</f>
        <v>0</v>
      </c>
      <c r="AH49" s="23"/>
      <c r="AI49" s="23">
        <f>' Bảng nhập công'!$L49</f>
        <v>0</v>
      </c>
      <c r="AJ49" s="25">
        <f>$AI49*'Danh muc'!$U49</f>
        <v>0</v>
      </c>
      <c r="AK49" s="13"/>
      <c r="AL49" s="23">
        <f>' Bảng nhập công'!$M49</f>
        <v>0</v>
      </c>
      <c r="AM49" s="229">
        <f>$AL49*'Danh muc'!$T49</f>
        <v>0</v>
      </c>
      <c r="AN49" s="23"/>
      <c r="AO49" s="24">
        <f>' Bảng nhập công'!$DC49</f>
        <v>0</v>
      </c>
      <c r="AP49" s="230">
        <f>$AO49*'Danh muc'!$O49*8</f>
        <v>0</v>
      </c>
      <c r="AQ49" s="445"/>
      <c r="AR49" s="13">
        <f>' Bảng nhập công'!$DD49</f>
        <v>1</v>
      </c>
      <c r="AS49" s="25">
        <f>$AR49*'Danh muc'!$O49*8</f>
        <v>204230.76923076922</v>
      </c>
      <c r="AT49" s="13"/>
      <c r="AU49" s="13"/>
      <c r="AV49" s="13"/>
      <c r="AW49" s="25">
        <f t="shared" si="0"/>
        <v>0</v>
      </c>
      <c r="AX49" s="13"/>
      <c r="AY49" s="13"/>
      <c r="AZ49" s="25"/>
      <c r="BA49" s="25">
        <f t="shared" si="1"/>
        <v>0</v>
      </c>
      <c r="BB49" s="13"/>
      <c r="BC49" s="25"/>
      <c r="BD49" s="13"/>
      <c r="BE49" s="295"/>
      <c r="BF49" s="446"/>
      <c r="BG49" s="295"/>
      <c r="BH49" s="446"/>
      <c r="BI49" s="295"/>
      <c r="BJ49" s="446"/>
      <c r="BK49" s="295"/>
      <c r="BL49" s="448"/>
      <c r="BM49" s="295"/>
      <c r="BN49" s="446"/>
      <c r="BO49" s="317">
        <f t="shared" si="5"/>
        <v>742692.30769230775</v>
      </c>
      <c r="BP49" s="449">
        <f>'Danh muc'!$X49</f>
        <v>557550</v>
      </c>
      <c r="BQ49" s="322"/>
      <c r="BR49" s="449"/>
      <c r="BS49" s="322"/>
      <c r="BT49" s="449"/>
      <c r="BU49" s="322"/>
      <c r="BV49" s="319">
        <f>' Bảng nhập công'!DE49</f>
        <v>0</v>
      </c>
      <c r="BW49" s="27"/>
      <c r="BX49" s="320">
        <f>' Bảng nhập công'!DF49</f>
        <v>0</v>
      </c>
      <c r="BY49" s="27"/>
      <c r="BZ49" s="320"/>
      <c r="CA49" s="27"/>
      <c r="CB49" s="320"/>
      <c r="CC49" s="27"/>
      <c r="CD49" s="450"/>
      <c r="CE49" s="27"/>
      <c r="CF49" s="321">
        <f t="shared" si="6"/>
        <v>185000</v>
      </c>
      <c r="CG49" s="11" t="s">
        <v>131</v>
      </c>
      <c r="CH49" s="27">
        <f>'Danh muc'!$W49</f>
        <v>1141650</v>
      </c>
      <c r="CI49" s="280"/>
    </row>
    <row r="50" spans="1:87" s="1" customFormat="1" ht="19.5" customHeight="1">
      <c r="A50" s="12">
        <f>'Danh muc'!A50</f>
        <v>43</v>
      </c>
      <c r="B50" s="6">
        <f>'Danh muc'!B50</f>
        <v>24090700</v>
      </c>
      <c r="C50" s="11" t="str">
        <f>'Danh muc'!C50</f>
        <v>Lê Thị Cẩm Nhiên</v>
      </c>
      <c r="D50" s="12" t="str">
        <f>'Danh muc'!E50</f>
        <v>Sản xuất</v>
      </c>
      <c r="E50" s="13">
        <f>' Bảng nhập công'!$H50</f>
        <v>0</v>
      </c>
      <c r="F50" s="13">
        <f>$E50*'Danh muc'!$H50</f>
        <v>0</v>
      </c>
      <c r="G50" s="13">
        <f>'Danh muc'!J50</f>
        <v>0</v>
      </c>
      <c r="H50" s="13"/>
      <c r="I50" s="13">
        <f>$H50*'Danh muc'!$I50</f>
        <v>0</v>
      </c>
      <c r="J50" s="13"/>
      <c r="K50" s="13">
        <f>' Bảng nhập công'!J50</f>
        <v>0</v>
      </c>
      <c r="L50" s="13">
        <f>'Danh muc'!L50*'Bảng tính toán'!K50</f>
        <v>0</v>
      </c>
      <c r="M50" s="13"/>
      <c r="N50" s="13"/>
      <c r="O50" s="13"/>
      <c r="P50" s="13"/>
      <c r="Q50" s="316">
        <f>IF((' Bảng nhập công'!$E50+' Bảng nhập công'!$F50)&gt;='Bảng tính toán'!$Q$6,'Bảng tính toán'!$Q$6,(' Bảng nhập công'!$E50+' Bảng nhập công'!$F50))</f>
        <v>0</v>
      </c>
      <c r="R50" s="25">
        <f>$Q50*'Danh muc'!$O50</f>
        <v>0</v>
      </c>
      <c r="S50" s="25">
        <f>'Danh muc'!N50</f>
        <v>5500000</v>
      </c>
      <c r="T50" s="22">
        <f>' Bảng nhập công'!DE50+' Bảng nhập công'!DF50</f>
        <v>0</v>
      </c>
      <c r="U50" s="25">
        <f>IF(OR(' Bảng nhập công'!DE50&gt;=3,' Bảng nhập công'!DF50&gt;=2),0,IF(OR(' Bảng nhập công'!DE50=2,' Bảng nhập công'!DF50=1),('Danh muc'!Q50/2),'Danh muc'!Q50))</f>
        <v>500000</v>
      </c>
      <c r="V50" s="22"/>
      <c r="W50" s="22">
        <f t="shared" si="2"/>
        <v>0</v>
      </c>
      <c r="X50" s="316"/>
      <c r="Y50" s="22"/>
      <c r="Z50" s="22">
        <f t="shared" si="3"/>
        <v>0</v>
      </c>
      <c r="AA50" s="25">
        <f t="shared" si="4"/>
        <v>200000</v>
      </c>
      <c r="AB50" s="13">
        <f>'Danh muc'!S50</f>
        <v>260000</v>
      </c>
      <c r="AC50" s="22">
        <f>IF((' Bảng nhập công'!E50+' Bảng nhập công'!F50)&gt;'Bảng tính toán'!$Q$6,(' Bảng nhập công'!E50+' Bảng nhập công'!F50-'Bảng tính toán'!$Q$6),0)+' Bảng nhập công'!G50</f>
        <v>0</v>
      </c>
      <c r="AD50" s="229">
        <f>AC50*'Danh muc'!P50</f>
        <v>0</v>
      </c>
      <c r="AE50" s="23"/>
      <c r="AF50" s="22">
        <f>' Bảng nhập công'!$K50</f>
        <v>0</v>
      </c>
      <c r="AG50" s="229">
        <f>$AF50*'Danh muc'!$V50</f>
        <v>0</v>
      </c>
      <c r="AH50" s="23"/>
      <c r="AI50" s="23">
        <f>' Bảng nhập công'!$L50</f>
        <v>0</v>
      </c>
      <c r="AJ50" s="25">
        <f>$AI50*'Danh muc'!$U50</f>
        <v>0</v>
      </c>
      <c r="AK50" s="13"/>
      <c r="AL50" s="23">
        <f>' Bảng nhập công'!$M50</f>
        <v>0</v>
      </c>
      <c r="AM50" s="229">
        <f>$AL50*'Danh muc'!$T50</f>
        <v>0</v>
      </c>
      <c r="AN50" s="23"/>
      <c r="AO50" s="24">
        <f>' Bảng nhập công'!$DC50</f>
        <v>0</v>
      </c>
      <c r="AP50" s="230">
        <f>$AO50*'Danh muc'!$O50*8</f>
        <v>0</v>
      </c>
      <c r="AQ50" s="445"/>
      <c r="AR50" s="13">
        <f>' Bảng nhập công'!$DD50</f>
        <v>1</v>
      </c>
      <c r="AS50" s="25">
        <f>$AR50*'Danh muc'!$O50*8</f>
        <v>211538.46153846153</v>
      </c>
      <c r="AT50" s="13"/>
      <c r="AU50" s="13"/>
      <c r="AV50" s="13"/>
      <c r="AW50" s="25">
        <f t="shared" si="0"/>
        <v>0</v>
      </c>
      <c r="AX50" s="13"/>
      <c r="AY50" s="13"/>
      <c r="AZ50" s="25"/>
      <c r="BA50" s="25">
        <f t="shared" si="1"/>
        <v>0</v>
      </c>
      <c r="BB50" s="13"/>
      <c r="BC50" s="25"/>
      <c r="BD50" s="13"/>
      <c r="BE50" s="295"/>
      <c r="BF50" s="446"/>
      <c r="BG50" s="295"/>
      <c r="BH50" s="446"/>
      <c r="BI50" s="295"/>
      <c r="BJ50" s="446"/>
      <c r="BK50" s="295"/>
      <c r="BL50" s="448"/>
      <c r="BM50" s="295"/>
      <c r="BN50" s="446"/>
      <c r="BO50" s="317">
        <f t="shared" si="5"/>
        <v>911538.4615384615</v>
      </c>
      <c r="BP50" s="449">
        <f>'Danh muc'!$X50</f>
        <v>577500</v>
      </c>
      <c r="BQ50" s="322"/>
      <c r="BR50" s="449"/>
      <c r="BS50" s="322"/>
      <c r="BT50" s="449">
        <f>'Danh muc'!N50*0.5%</f>
        <v>27500</v>
      </c>
      <c r="BU50" s="322"/>
      <c r="BV50" s="319">
        <f>' Bảng nhập công'!DE50</f>
        <v>0</v>
      </c>
      <c r="BW50" s="27"/>
      <c r="BX50" s="320">
        <f>' Bảng nhập công'!DF50</f>
        <v>0</v>
      </c>
      <c r="BY50" s="27"/>
      <c r="BZ50" s="320"/>
      <c r="CA50" s="27"/>
      <c r="CB50" s="320"/>
      <c r="CC50" s="27"/>
      <c r="CD50" s="450"/>
      <c r="CE50" s="27"/>
      <c r="CF50" s="321">
        <f t="shared" si="6"/>
        <v>306000</v>
      </c>
      <c r="CG50" s="11" t="s">
        <v>131</v>
      </c>
      <c r="CH50" s="27">
        <f>'Danh muc'!$W50</f>
        <v>1182500</v>
      </c>
      <c r="CI50" s="280"/>
    </row>
    <row r="51" spans="1:87" s="1" customFormat="1" ht="19.5" customHeight="1">
      <c r="A51" s="12">
        <f>'Danh muc'!A51</f>
        <v>44</v>
      </c>
      <c r="B51" s="6">
        <f>'Danh muc'!B51</f>
        <v>23061400</v>
      </c>
      <c r="C51" s="11" t="str">
        <f>'Danh muc'!C51</f>
        <v>Nguyễn Thị Hoa</v>
      </c>
      <c r="D51" s="12" t="str">
        <f>'Danh muc'!E51</f>
        <v>Sản xuất</v>
      </c>
      <c r="E51" s="13">
        <f>' Bảng nhập công'!$H51</f>
        <v>0</v>
      </c>
      <c r="F51" s="13">
        <f>$E51*'Danh muc'!$H51</f>
        <v>0</v>
      </c>
      <c r="G51" s="13">
        <f>'Danh muc'!J51</f>
        <v>0</v>
      </c>
      <c r="H51" s="13"/>
      <c r="I51" s="13">
        <f>$H51*'Danh muc'!$I51</f>
        <v>0</v>
      </c>
      <c r="J51" s="13"/>
      <c r="K51" s="13">
        <f>' Bảng nhập công'!J51</f>
        <v>0</v>
      </c>
      <c r="L51" s="13">
        <f>'Danh muc'!L51*'Bảng tính toán'!K51</f>
        <v>0</v>
      </c>
      <c r="M51" s="13"/>
      <c r="N51" s="13"/>
      <c r="O51" s="13"/>
      <c r="P51" s="13"/>
      <c r="Q51" s="316">
        <f>IF((' Bảng nhập công'!$E51+' Bảng nhập công'!$F51)&gt;='Bảng tính toán'!$Q$6,'Bảng tính toán'!$Q$6,(' Bảng nhập công'!$E51+' Bảng nhập công'!$F51))</f>
        <v>0</v>
      </c>
      <c r="R51" s="25">
        <f>$Q51*'Danh muc'!$O51</f>
        <v>0</v>
      </c>
      <c r="S51" s="25">
        <f>'Danh muc'!N51</f>
        <v>5500000</v>
      </c>
      <c r="T51" s="22">
        <f>' Bảng nhập công'!DE51+' Bảng nhập công'!DF51</f>
        <v>0</v>
      </c>
      <c r="U51" s="25">
        <f>IF(OR(' Bảng nhập công'!DE51&gt;=3,' Bảng nhập công'!DF51&gt;=2),0,IF(OR(' Bảng nhập công'!DE51=2,' Bảng nhập công'!DF51=1),('Danh muc'!Q51/2),'Danh muc'!Q51))</f>
        <v>500000</v>
      </c>
      <c r="V51" s="22"/>
      <c r="W51" s="22">
        <f t="shared" si="2"/>
        <v>0</v>
      </c>
      <c r="X51" s="316"/>
      <c r="Y51" s="22"/>
      <c r="Z51" s="22">
        <f t="shared" si="3"/>
        <v>0</v>
      </c>
      <c r="AA51" s="25">
        <f t="shared" si="4"/>
        <v>192307.69230769231</v>
      </c>
      <c r="AB51" s="13">
        <f>'Danh muc'!S51</f>
        <v>250000</v>
      </c>
      <c r="AC51" s="22">
        <f>IF((' Bảng nhập công'!E51+' Bảng nhập công'!F51)&gt;'Bảng tính toán'!$Q$6,(' Bảng nhập công'!E51+' Bảng nhập công'!F51-'Bảng tính toán'!$Q$6),0)+' Bảng nhập công'!G51</f>
        <v>0</v>
      </c>
      <c r="AD51" s="229">
        <f>AC51*'Danh muc'!P51</f>
        <v>0</v>
      </c>
      <c r="AE51" s="23"/>
      <c r="AF51" s="22">
        <f>' Bảng nhập công'!$K51</f>
        <v>0</v>
      </c>
      <c r="AG51" s="229">
        <f>$AF51*'Danh muc'!$V51</f>
        <v>0</v>
      </c>
      <c r="AH51" s="23"/>
      <c r="AI51" s="23">
        <f>' Bảng nhập công'!$L51</f>
        <v>0</v>
      </c>
      <c r="AJ51" s="25">
        <f>$AI51*'Danh muc'!$U51</f>
        <v>0</v>
      </c>
      <c r="AK51" s="13"/>
      <c r="AL51" s="23">
        <f>' Bảng nhập công'!$M51</f>
        <v>0</v>
      </c>
      <c r="AM51" s="229">
        <f>$AL51*'Danh muc'!$T51</f>
        <v>0</v>
      </c>
      <c r="AN51" s="23"/>
      <c r="AO51" s="24">
        <f>' Bảng nhập công'!$DC51</f>
        <v>0</v>
      </c>
      <c r="AP51" s="230">
        <f>$AO51*'Danh muc'!$O51*8</f>
        <v>0</v>
      </c>
      <c r="AQ51" s="445"/>
      <c r="AR51" s="13">
        <f>' Bảng nhập công'!$DD51</f>
        <v>1</v>
      </c>
      <c r="AS51" s="25">
        <f>$AR51*'Danh muc'!$O51*8</f>
        <v>211538.46153846153</v>
      </c>
      <c r="AT51" s="13"/>
      <c r="AU51" s="76"/>
      <c r="AV51" s="13"/>
      <c r="AW51" s="25">
        <f t="shared" si="0"/>
        <v>0</v>
      </c>
      <c r="AX51" s="13"/>
      <c r="AY51" s="13"/>
      <c r="AZ51" s="25"/>
      <c r="BA51" s="25">
        <f t="shared" si="1"/>
        <v>0</v>
      </c>
      <c r="BB51" s="13"/>
      <c r="BC51" s="25"/>
      <c r="BD51" s="13"/>
      <c r="BE51" s="295"/>
      <c r="BF51" s="446"/>
      <c r="BG51" s="295"/>
      <c r="BH51" s="446"/>
      <c r="BI51" s="295"/>
      <c r="BJ51" s="446"/>
      <c r="BK51" s="295"/>
      <c r="BL51" s="448"/>
      <c r="BM51" s="295"/>
      <c r="BN51" s="446"/>
      <c r="BO51" s="317">
        <f t="shared" si="5"/>
        <v>903846.15384615376</v>
      </c>
      <c r="BP51" s="449">
        <f>'Danh muc'!$X51</f>
        <v>577500</v>
      </c>
      <c r="BQ51" s="322"/>
      <c r="BR51" s="449"/>
      <c r="BS51" s="322"/>
      <c r="BT51" s="449">
        <f>'Danh muc'!N51*0.5%</f>
        <v>27500</v>
      </c>
      <c r="BU51" s="322"/>
      <c r="BV51" s="319">
        <f>' Bảng nhập công'!DE51</f>
        <v>0</v>
      </c>
      <c r="BW51" s="27"/>
      <c r="BX51" s="320">
        <f>' Bảng nhập công'!DF51</f>
        <v>0</v>
      </c>
      <c r="BY51" s="27"/>
      <c r="BZ51" s="320"/>
      <c r="CA51" s="27"/>
      <c r="CB51" s="320"/>
      <c r="CC51" s="27"/>
      <c r="CD51" s="450"/>
      <c r="CE51" s="27"/>
      <c r="CF51" s="321">
        <f t="shared" si="6"/>
        <v>298000</v>
      </c>
      <c r="CG51" s="11" t="s">
        <v>131</v>
      </c>
      <c r="CH51" s="27">
        <f>'Danh muc'!$W51</f>
        <v>1182500</v>
      </c>
      <c r="CI51" s="280"/>
    </row>
    <row r="52" spans="1:87" s="1" customFormat="1" ht="19.5" customHeight="1">
      <c r="A52" s="12">
        <f>'Danh muc'!A52</f>
        <v>45</v>
      </c>
      <c r="B52" s="6">
        <f>'Danh muc'!B52</f>
        <v>24051300</v>
      </c>
      <c r="C52" s="11" t="str">
        <f>'Danh muc'!C52</f>
        <v>Lê Văn Kiệt</v>
      </c>
      <c r="D52" s="12" t="str">
        <f>'Danh muc'!E52</f>
        <v>Sản xuất</v>
      </c>
      <c r="E52" s="13">
        <f>' Bảng nhập công'!$H52</f>
        <v>0</v>
      </c>
      <c r="F52" s="13">
        <f>$E52*'Danh muc'!$H52</f>
        <v>0</v>
      </c>
      <c r="G52" s="13">
        <f>'Danh muc'!J52</f>
        <v>0</v>
      </c>
      <c r="H52" s="13"/>
      <c r="I52" s="13">
        <f>$H52*'Danh muc'!$I52</f>
        <v>0</v>
      </c>
      <c r="J52" s="13"/>
      <c r="K52" s="13">
        <f>' Bảng nhập công'!J52</f>
        <v>0</v>
      </c>
      <c r="L52" s="13">
        <f>'Danh muc'!L52*'Bảng tính toán'!K52</f>
        <v>0</v>
      </c>
      <c r="M52" s="13"/>
      <c r="N52" s="13"/>
      <c r="O52" s="13"/>
      <c r="P52" s="13"/>
      <c r="Q52" s="316">
        <f>IF((' Bảng nhập công'!$E52+' Bảng nhập công'!$F52)&gt;='Bảng tính toán'!$Q$6,'Bảng tính toán'!$Q$6,(' Bảng nhập công'!$E52+' Bảng nhập công'!$F52))</f>
        <v>0</v>
      </c>
      <c r="R52" s="25">
        <f>$Q52*'Danh muc'!$O52</f>
        <v>0</v>
      </c>
      <c r="S52" s="25">
        <f>'Danh muc'!N52</f>
        <v>5700000</v>
      </c>
      <c r="T52" s="22">
        <f>' Bảng nhập công'!DE52+' Bảng nhập công'!DF52</f>
        <v>0</v>
      </c>
      <c r="U52" s="25">
        <f>IF(OR(' Bảng nhập công'!DE52&gt;=3,' Bảng nhập công'!DF52&gt;=2),0,IF(OR(' Bảng nhập công'!DE52=2,' Bảng nhập công'!DF52=1),('Danh muc'!Q52/2),'Danh muc'!Q52))</f>
        <v>500000</v>
      </c>
      <c r="V52" s="22"/>
      <c r="W52" s="22">
        <f t="shared" si="2"/>
        <v>0</v>
      </c>
      <c r="X52" s="316"/>
      <c r="Y52" s="22"/>
      <c r="Z52" s="22">
        <f t="shared" si="3"/>
        <v>0</v>
      </c>
      <c r="AA52" s="25">
        <f t="shared" si="4"/>
        <v>76923.076923076922</v>
      </c>
      <c r="AB52" s="13">
        <f>'Danh muc'!S52</f>
        <v>100000</v>
      </c>
      <c r="AC52" s="22">
        <f>IF((' Bảng nhập công'!E52+' Bảng nhập công'!F52)&gt;'Bảng tính toán'!$Q$6,(' Bảng nhập công'!E52+' Bảng nhập công'!F52-'Bảng tính toán'!$Q$6),0)+' Bảng nhập công'!G52</f>
        <v>0</v>
      </c>
      <c r="AD52" s="229">
        <f>AC52*'Danh muc'!P52</f>
        <v>0</v>
      </c>
      <c r="AE52" s="23"/>
      <c r="AF52" s="22">
        <f>' Bảng nhập công'!$K52</f>
        <v>0</v>
      </c>
      <c r="AG52" s="229">
        <f>$AF52*'Danh muc'!$V52</f>
        <v>0</v>
      </c>
      <c r="AH52" s="23"/>
      <c r="AI52" s="23">
        <f>' Bảng nhập công'!$L52</f>
        <v>0</v>
      </c>
      <c r="AJ52" s="25">
        <f>$AI52*'Danh muc'!$U52</f>
        <v>0</v>
      </c>
      <c r="AK52" s="13"/>
      <c r="AL52" s="23">
        <f>' Bảng nhập công'!$M52</f>
        <v>0</v>
      </c>
      <c r="AM52" s="229">
        <f>$AL52*'Danh muc'!$T52</f>
        <v>0</v>
      </c>
      <c r="AN52" s="23"/>
      <c r="AO52" s="24">
        <f>' Bảng nhập công'!$DC52</f>
        <v>0</v>
      </c>
      <c r="AP52" s="230">
        <f>$AO52*'Danh muc'!$O52*8</f>
        <v>0</v>
      </c>
      <c r="AQ52" s="445"/>
      <c r="AR52" s="13">
        <f>' Bảng nhập công'!$DD52</f>
        <v>1</v>
      </c>
      <c r="AS52" s="25">
        <f>$AR52*'Danh muc'!$O52*8</f>
        <v>219230.76923076922</v>
      </c>
      <c r="AT52" s="13"/>
      <c r="AU52" s="13"/>
      <c r="AV52" s="13"/>
      <c r="AW52" s="25">
        <f t="shared" si="0"/>
        <v>0</v>
      </c>
      <c r="AX52" s="13"/>
      <c r="AY52" s="13"/>
      <c r="AZ52" s="25"/>
      <c r="BA52" s="25">
        <f t="shared" si="1"/>
        <v>0</v>
      </c>
      <c r="BB52" s="13"/>
      <c r="BC52" s="25"/>
      <c r="BD52" s="13"/>
      <c r="BE52" s="295"/>
      <c r="BF52" s="446"/>
      <c r="BG52" s="295"/>
      <c r="BH52" s="446"/>
      <c r="BI52" s="295"/>
      <c r="BJ52" s="446"/>
      <c r="BK52" s="295"/>
      <c r="BL52" s="448"/>
      <c r="BM52" s="295"/>
      <c r="BN52" s="446"/>
      <c r="BO52" s="317">
        <f t="shared" si="5"/>
        <v>796153.84615384613</v>
      </c>
      <c r="BP52" s="449">
        <f>'Danh muc'!$X52</f>
        <v>598500</v>
      </c>
      <c r="BQ52" s="322"/>
      <c r="BR52" s="449"/>
      <c r="BS52" s="322"/>
      <c r="BT52" s="449">
        <f>'Danh muc'!N52*0.5%</f>
        <v>28500</v>
      </c>
      <c r="BU52" s="322"/>
      <c r="BV52" s="319">
        <f>' Bảng nhập công'!DE52</f>
        <v>0</v>
      </c>
      <c r="BW52" s="27"/>
      <c r="BX52" s="320">
        <f>' Bảng nhập công'!DF52</f>
        <v>0</v>
      </c>
      <c r="BY52" s="27"/>
      <c r="BZ52" s="320"/>
      <c r="CA52" s="27"/>
      <c r="CB52" s="320"/>
      <c r="CC52" s="27"/>
      <c r="CD52" s="450"/>
      <c r="CE52" s="27"/>
      <c r="CF52" s="321">
        <f t="shared" si="6"/>
        <v>169000</v>
      </c>
      <c r="CG52" s="11" t="s">
        <v>131</v>
      </c>
      <c r="CH52" s="27">
        <f>'Danh muc'!$W52</f>
        <v>1225500</v>
      </c>
      <c r="CI52" s="280"/>
    </row>
    <row r="53" spans="1:87" s="1" customFormat="1" ht="19.5" customHeight="1">
      <c r="A53" s="12">
        <f>'Danh muc'!A53</f>
        <v>46</v>
      </c>
      <c r="B53" s="6">
        <f>'Danh muc'!B53</f>
        <v>24030300</v>
      </c>
      <c r="C53" s="11" t="str">
        <f>'Danh muc'!C53</f>
        <v>Nguyễn Đoàn Duy Khương</v>
      </c>
      <c r="D53" s="12" t="str">
        <f>'Danh muc'!E53</f>
        <v>Sản xuất</v>
      </c>
      <c r="E53" s="13">
        <f>' Bảng nhập công'!$H53</f>
        <v>0</v>
      </c>
      <c r="F53" s="13">
        <f>$E53*'Danh muc'!$H53</f>
        <v>0</v>
      </c>
      <c r="G53" s="13">
        <f>'Danh muc'!J53</f>
        <v>0</v>
      </c>
      <c r="H53" s="13"/>
      <c r="I53" s="13">
        <f>$H53*'Danh muc'!$I53</f>
        <v>0</v>
      </c>
      <c r="J53" s="13"/>
      <c r="K53" s="13">
        <f>' Bảng nhập công'!J53</f>
        <v>0</v>
      </c>
      <c r="L53" s="13">
        <f>'Danh muc'!L53*'Bảng tính toán'!K53</f>
        <v>0</v>
      </c>
      <c r="M53" s="13"/>
      <c r="N53" s="13"/>
      <c r="O53" s="13"/>
      <c r="P53" s="13"/>
      <c r="Q53" s="316">
        <f>IF((' Bảng nhập công'!$E53+' Bảng nhập công'!$F53)&gt;='Bảng tính toán'!$Q$6,'Bảng tính toán'!$Q$6,(' Bảng nhập công'!$E53+' Bảng nhập công'!$F53))</f>
        <v>0</v>
      </c>
      <c r="R53" s="25">
        <f>$Q53*'Danh muc'!$O53</f>
        <v>0</v>
      </c>
      <c r="S53" s="25">
        <f>'Danh muc'!N53</f>
        <v>5700000</v>
      </c>
      <c r="T53" s="22">
        <f>' Bảng nhập công'!DE53+' Bảng nhập công'!DF53</f>
        <v>0</v>
      </c>
      <c r="U53" s="25">
        <f>IF(OR(' Bảng nhập công'!DE53&gt;=3,' Bảng nhập công'!DF53&gt;=2),0,IF(OR(' Bảng nhập công'!DE53=2,' Bảng nhập công'!DF53=1),('Danh muc'!Q53/2),'Danh muc'!Q53))</f>
        <v>500000</v>
      </c>
      <c r="V53" s="22"/>
      <c r="W53" s="22">
        <f t="shared" si="2"/>
        <v>0</v>
      </c>
      <c r="X53" s="316"/>
      <c r="Y53" s="22"/>
      <c r="Z53" s="22">
        <f t="shared" si="3"/>
        <v>0</v>
      </c>
      <c r="AA53" s="25">
        <f t="shared" si="4"/>
        <v>115384.61538461538</v>
      </c>
      <c r="AB53" s="13">
        <f>'Danh muc'!S53</f>
        <v>150000</v>
      </c>
      <c r="AC53" s="22">
        <f>IF((' Bảng nhập công'!E53+' Bảng nhập công'!F53)&gt;'Bảng tính toán'!$Q$6,(' Bảng nhập công'!E53+' Bảng nhập công'!F53-'Bảng tính toán'!$Q$6),0)+' Bảng nhập công'!G53</f>
        <v>0</v>
      </c>
      <c r="AD53" s="229">
        <f>AC53*'Danh muc'!P53</f>
        <v>0</v>
      </c>
      <c r="AE53" s="23"/>
      <c r="AF53" s="22">
        <f>' Bảng nhập công'!$K53</f>
        <v>0</v>
      </c>
      <c r="AG53" s="229">
        <f>$AF53*'Danh muc'!$V53</f>
        <v>0</v>
      </c>
      <c r="AH53" s="23"/>
      <c r="AI53" s="23">
        <f>' Bảng nhập công'!$L53</f>
        <v>0</v>
      </c>
      <c r="AJ53" s="25">
        <f>$AI53*'Danh muc'!$U53</f>
        <v>0</v>
      </c>
      <c r="AK53" s="13"/>
      <c r="AL53" s="23">
        <f>' Bảng nhập công'!$M53</f>
        <v>0</v>
      </c>
      <c r="AM53" s="229">
        <f>$AL53*'Danh muc'!$T53</f>
        <v>0</v>
      </c>
      <c r="AN53" s="23"/>
      <c r="AO53" s="24">
        <f>' Bảng nhập công'!$DC53</f>
        <v>0</v>
      </c>
      <c r="AP53" s="230">
        <f>$AO53*'Danh muc'!$O53*8</f>
        <v>0</v>
      </c>
      <c r="AQ53" s="445"/>
      <c r="AR53" s="13">
        <f>' Bảng nhập công'!$DD53</f>
        <v>1</v>
      </c>
      <c r="AS53" s="25">
        <f>$AR53*'Danh muc'!$O53*8</f>
        <v>219230.76923076922</v>
      </c>
      <c r="AT53" s="13"/>
      <c r="AU53" s="13"/>
      <c r="AV53" s="13"/>
      <c r="AW53" s="25">
        <f t="shared" si="0"/>
        <v>0</v>
      </c>
      <c r="AX53" s="13"/>
      <c r="AY53" s="13"/>
      <c r="AZ53" s="25"/>
      <c r="BA53" s="25">
        <f t="shared" si="1"/>
        <v>0</v>
      </c>
      <c r="BB53" s="13"/>
      <c r="BC53" s="25"/>
      <c r="BD53" s="13"/>
      <c r="BE53" s="295"/>
      <c r="BF53" s="446"/>
      <c r="BG53" s="295"/>
      <c r="BH53" s="446"/>
      <c r="BI53" s="295"/>
      <c r="BJ53" s="446"/>
      <c r="BK53" s="295"/>
      <c r="BL53" s="448"/>
      <c r="BM53" s="295"/>
      <c r="BN53" s="446"/>
      <c r="BO53" s="317">
        <f t="shared" si="5"/>
        <v>834615.38461538462</v>
      </c>
      <c r="BP53" s="449">
        <f>'Danh muc'!$X53</f>
        <v>598500</v>
      </c>
      <c r="BQ53" s="322"/>
      <c r="BR53" s="449"/>
      <c r="BS53" s="322"/>
      <c r="BT53" s="449">
        <f>'Danh muc'!N53*0.5%</f>
        <v>28500</v>
      </c>
      <c r="BU53" s="322"/>
      <c r="BV53" s="319">
        <f>' Bảng nhập công'!DE53</f>
        <v>0</v>
      </c>
      <c r="BW53" s="27"/>
      <c r="BX53" s="320">
        <f>' Bảng nhập công'!DF53</f>
        <v>0</v>
      </c>
      <c r="BY53" s="27"/>
      <c r="BZ53" s="320"/>
      <c r="CA53" s="27"/>
      <c r="CB53" s="320"/>
      <c r="CC53" s="27"/>
      <c r="CD53" s="450"/>
      <c r="CE53" s="27"/>
      <c r="CF53" s="321">
        <f t="shared" si="6"/>
        <v>207000</v>
      </c>
      <c r="CG53" s="11" t="s">
        <v>131</v>
      </c>
      <c r="CH53" s="27">
        <f>'Danh muc'!$W53</f>
        <v>1225500</v>
      </c>
      <c r="CI53" s="280"/>
    </row>
    <row r="54" spans="1:87" s="1" customFormat="1" ht="19.5" customHeight="1">
      <c r="A54" s="12">
        <f>'Danh muc'!A54</f>
        <v>47</v>
      </c>
      <c r="B54" s="6">
        <f>'Danh muc'!B54</f>
        <v>17010101</v>
      </c>
      <c r="C54" s="11" t="str">
        <f>'Danh muc'!C54</f>
        <v>Nguyễn Minh Thùy</v>
      </c>
      <c r="D54" s="12" t="str">
        <f>'Danh muc'!E54</f>
        <v>Trưởng ca</v>
      </c>
      <c r="E54" s="13">
        <f>' Bảng nhập công'!$H54</f>
        <v>0</v>
      </c>
      <c r="F54" s="13">
        <f>$E54*'Danh muc'!$H54</f>
        <v>0</v>
      </c>
      <c r="G54" s="13">
        <f>'Danh muc'!J54</f>
        <v>0</v>
      </c>
      <c r="H54" s="13"/>
      <c r="I54" s="13">
        <f>$H54*'Danh muc'!$I54</f>
        <v>0</v>
      </c>
      <c r="J54" s="13"/>
      <c r="K54" s="13">
        <f>' Bảng nhập công'!J54</f>
        <v>0</v>
      </c>
      <c r="L54" s="13">
        <f>'Danh muc'!L54*'Bảng tính toán'!K54</f>
        <v>0</v>
      </c>
      <c r="M54" s="13"/>
      <c r="N54" s="13"/>
      <c r="O54" s="13"/>
      <c r="P54" s="13"/>
      <c r="Q54" s="316">
        <f>IF((' Bảng nhập công'!$E54+' Bảng nhập công'!$F54)&gt;='Bảng tính toán'!$Q$6,'Bảng tính toán'!$Q$6,(' Bảng nhập công'!$E54+' Bảng nhập công'!$F54))</f>
        <v>0</v>
      </c>
      <c r="R54" s="25">
        <f>$Q54*'Danh muc'!$O54</f>
        <v>0</v>
      </c>
      <c r="S54" s="25">
        <f>'Danh muc'!N54</f>
        <v>6900000</v>
      </c>
      <c r="T54" s="22">
        <f>' Bảng nhập công'!DE54+' Bảng nhập công'!DF54</f>
        <v>0</v>
      </c>
      <c r="U54" s="25">
        <f>IF(OR(' Bảng nhập công'!DE54&gt;=3,' Bảng nhập công'!DF54&gt;=2),0,IF(OR(' Bảng nhập công'!DE54=2,' Bảng nhập công'!DF54=1),('Danh muc'!Q54/2),'Danh muc'!Q54))</f>
        <v>500000</v>
      </c>
      <c r="V54" s="22"/>
      <c r="W54" s="22">
        <f t="shared" si="2"/>
        <v>0</v>
      </c>
      <c r="X54" s="316"/>
      <c r="Y54" s="22"/>
      <c r="Z54" s="22">
        <f t="shared" si="3"/>
        <v>0</v>
      </c>
      <c r="AA54" s="25">
        <f t="shared" si="4"/>
        <v>1615384.6153846155</v>
      </c>
      <c r="AB54" s="13">
        <f>'Danh muc'!S54</f>
        <v>2100000</v>
      </c>
      <c r="AC54" s="22">
        <f>IF(' Bảng nhập công'!E54&gt;'Bảng tính toán'!$Q$4,(' Bảng nhập công'!E54-'Bảng tính toán'!$Q$4),0)+' Bảng nhập công'!G54</f>
        <v>0</v>
      </c>
      <c r="AD54" s="229">
        <f>AC54*'Danh muc'!P54</f>
        <v>0</v>
      </c>
      <c r="AE54" s="23"/>
      <c r="AF54" s="22">
        <f>' Bảng nhập công'!$K54</f>
        <v>0</v>
      </c>
      <c r="AG54" s="229">
        <f>$AF54*'Danh muc'!$V54</f>
        <v>0</v>
      </c>
      <c r="AH54" s="23"/>
      <c r="AI54" s="23">
        <f>' Bảng nhập công'!$L54</f>
        <v>0</v>
      </c>
      <c r="AJ54" s="25">
        <f>$AI54*'Danh muc'!$U54</f>
        <v>0</v>
      </c>
      <c r="AK54" s="13"/>
      <c r="AL54" s="23">
        <f>' Bảng nhập công'!$M54</f>
        <v>0</v>
      </c>
      <c r="AM54" s="229">
        <f>$AL54*'Danh muc'!$T54</f>
        <v>0</v>
      </c>
      <c r="AN54" s="23"/>
      <c r="AO54" s="24">
        <f>' Bảng nhập công'!$DC54</f>
        <v>0</v>
      </c>
      <c r="AP54" s="230">
        <f>$AO54*'Danh muc'!$O54*8</f>
        <v>0</v>
      </c>
      <c r="AQ54" s="445"/>
      <c r="AR54" s="13">
        <f>' Bảng nhập công'!$DD54</f>
        <v>1</v>
      </c>
      <c r="AS54" s="25">
        <f>$AR54*'Danh muc'!$O54*8</f>
        <v>265384.61538461538</v>
      </c>
      <c r="AT54" s="13"/>
      <c r="AU54" s="13"/>
      <c r="AV54" s="13"/>
      <c r="AW54" s="25">
        <f t="shared" si="0"/>
        <v>0</v>
      </c>
      <c r="AX54" s="13"/>
      <c r="AY54" s="13"/>
      <c r="AZ54" s="25"/>
      <c r="BA54" s="25">
        <f t="shared" si="1"/>
        <v>0</v>
      </c>
      <c r="BB54" s="13"/>
      <c r="BC54" s="25"/>
      <c r="BD54" s="13"/>
      <c r="BE54" s="295"/>
      <c r="BF54" s="446"/>
      <c r="BG54" s="295"/>
      <c r="BH54" s="446"/>
      <c r="BI54" s="295"/>
      <c r="BJ54" s="446"/>
      <c r="BK54" s="295"/>
      <c r="BL54" s="448"/>
      <c r="BM54" s="295"/>
      <c r="BN54" s="446"/>
      <c r="BO54" s="317">
        <f t="shared" si="5"/>
        <v>2380769.230769231</v>
      </c>
      <c r="BP54" s="449">
        <f>'Danh muc'!$X54</f>
        <v>724500</v>
      </c>
      <c r="BQ54" s="322"/>
      <c r="BR54" s="449"/>
      <c r="BS54" s="322"/>
      <c r="BT54" s="449">
        <f>'Danh muc'!N54*0.5%</f>
        <v>34500</v>
      </c>
      <c r="BU54" s="322"/>
      <c r="BV54" s="319">
        <f>' Bảng nhập công'!DE54</f>
        <v>0</v>
      </c>
      <c r="BW54" s="27"/>
      <c r="BX54" s="320">
        <f>' Bảng nhập công'!DF54</f>
        <v>0</v>
      </c>
      <c r="BY54" s="27"/>
      <c r="BZ54" s="320"/>
      <c r="CA54" s="27"/>
      <c r="CB54" s="320"/>
      <c r="CC54" s="27"/>
      <c r="CD54" s="450"/>
      <c r="CE54" s="27"/>
      <c r="CF54" s="321">
        <f t="shared" si="6"/>
        <v>1621000</v>
      </c>
      <c r="CG54" s="11" t="s">
        <v>131</v>
      </c>
      <c r="CH54" s="27">
        <f>'Danh muc'!$W54</f>
        <v>1483500</v>
      </c>
      <c r="CI54" s="280"/>
    </row>
    <row r="55" spans="1:87" s="1" customFormat="1" ht="19.5" customHeight="1">
      <c r="A55" s="12">
        <f>'Danh muc'!A55</f>
        <v>48</v>
      </c>
      <c r="B55" s="6">
        <f>'Danh muc'!B55</f>
        <v>22031100</v>
      </c>
      <c r="C55" s="11" t="str">
        <f>'Danh muc'!C55</f>
        <v>Nguyễn Chí Nhân</v>
      </c>
      <c r="D55" s="12" t="str">
        <f>'Danh muc'!E55</f>
        <v>Trưởng ca</v>
      </c>
      <c r="E55" s="13">
        <f>' Bảng nhập công'!$H55</f>
        <v>0</v>
      </c>
      <c r="F55" s="13">
        <f>$E55*'Danh muc'!$H55</f>
        <v>0</v>
      </c>
      <c r="G55" s="13">
        <f>'Danh muc'!J55</f>
        <v>0</v>
      </c>
      <c r="H55" s="13"/>
      <c r="I55" s="13">
        <f>$H55*'Danh muc'!$I55</f>
        <v>0</v>
      </c>
      <c r="J55" s="13"/>
      <c r="K55" s="13">
        <f>' Bảng nhập công'!J55</f>
        <v>0</v>
      </c>
      <c r="L55" s="13">
        <f>'Danh muc'!L55*'Bảng tính toán'!K55</f>
        <v>0</v>
      </c>
      <c r="M55" s="13"/>
      <c r="N55" s="13"/>
      <c r="O55" s="13"/>
      <c r="P55" s="13"/>
      <c r="Q55" s="316">
        <f>IF((' Bảng nhập công'!$E55+' Bảng nhập công'!$F55)&gt;='Bảng tính toán'!$Q$6,'Bảng tính toán'!$Q$6,(' Bảng nhập công'!$E55+' Bảng nhập công'!$F55))</f>
        <v>0</v>
      </c>
      <c r="R55" s="25">
        <f>$Q55*'Danh muc'!$O55</f>
        <v>0</v>
      </c>
      <c r="S55" s="25">
        <f>'Danh muc'!N55</f>
        <v>6300000</v>
      </c>
      <c r="T55" s="22">
        <f>' Bảng nhập công'!DE55+' Bảng nhập công'!DF55</f>
        <v>0</v>
      </c>
      <c r="U55" s="25">
        <f>IF(OR(' Bảng nhập công'!DE55&gt;=3,' Bảng nhập công'!DF55&gt;=2),0,IF(OR(' Bảng nhập công'!DE55=2,' Bảng nhập công'!DF55=1),('Danh muc'!Q55/2),'Danh muc'!Q55))</f>
        <v>500000</v>
      </c>
      <c r="V55" s="22"/>
      <c r="W55" s="22">
        <f t="shared" si="2"/>
        <v>0</v>
      </c>
      <c r="X55" s="316"/>
      <c r="Y55" s="22"/>
      <c r="Z55" s="22">
        <f t="shared" si="3"/>
        <v>0</v>
      </c>
      <c r="AA55" s="25">
        <f t="shared" si="4"/>
        <v>576923.07692307688</v>
      </c>
      <c r="AB55" s="13">
        <f>'Danh muc'!S55</f>
        <v>750000</v>
      </c>
      <c r="AC55" s="22">
        <f>IF((' Bảng nhập công'!E55+' Bảng nhập công'!F55)&gt;'Bảng tính toán'!$Q$4,(' Bảng nhập công'!E55+' Bảng nhập công'!F55-'Bảng tính toán'!$Q$4),0)+' Bảng nhập công'!G55</f>
        <v>0</v>
      </c>
      <c r="AD55" s="229">
        <f>AC55*'Danh muc'!P55</f>
        <v>0</v>
      </c>
      <c r="AE55" s="23"/>
      <c r="AF55" s="22">
        <f>' Bảng nhập công'!$K55</f>
        <v>0</v>
      </c>
      <c r="AG55" s="229">
        <f>$AF55*'Danh muc'!$V55</f>
        <v>0</v>
      </c>
      <c r="AH55" s="23"/>
      <c r="AI55" s="23">
        <f>' Bảng nhập công'!$L55</f>
        <v>0</v>
      </c>
      <c r="AJ55" s="25">
        <f>$AI55*'Danh muc'!$U55</f>
        <v>0</v>
      </c>
      <c r="AK55" s="13"/>
      <c r="AL55" s="23">
        <f>' Bảng nhập công'!$M55</f>
        <v>0</v>
      </c>
      <c r="AM55" s="229">
        <f>$AL55*'Danh muc'!$T55</f>
        <v>0</v>
      </c>
      <c r="AN55" s="23"/>
      <c r="AO55" s="24">
        <f>' Bảng nhập công'!$DC55</f>
        <v>0</v>
      </c>
      <c r="AP55" s="230">
        <f>$AO55*'Danh muc'!$O55*8</f>
        <v>0</v>
      </c>
      <c r="AQ55" s="445"/>
      <c r="AR55" s="13">
        <f>' Bảng nhập công'!$DD55</f>
        <v>1</v>
      </c>
      <c r="AS55" s="25">
        <f>$AR55*'Danh muc'!$O55*8</f>
        <v>242307.69230769231</v>
      </c>
      <c r="AT55" s="13"/>
      <c r="AU55" s="13"/>
      <c r="AV55" s="13"/>
      <c r="AW55" s="25">
        <f t="shared" si="0"/>
        <v>0</v>
      </c>
      <c r="AX55" s="13"/>
      <c r="AY55" s="13"/>
      <c r="AZ55" s="25"/>
      <c r="BA55" s="25">
        <f t="shared" si="1"/>
        <v>0</v>
      </c>
      <c r="BB55" s="13"/>
      <c r="BC55" s="25"/>
      <c r="BD55" s="13"/>
      <c r="BE55" s="295"/>
      <c r="BF55" s="446"/>
      <c r="BG55" s="295"/>
      <c r="BH55" s="446"/>
      <c r="BI55" s="295"/>
      <c r="BJ55" s="446"/>
      <c r="BK55" s="295"/>
      <c r="BL55" s="448"/>
      <c r="BM55" s="295"/>
      <c r="BN55" s="446"/>
      <c r="BO55" s="317">
        <f t="shared" si="5"/>
        <v>1319230.7692307692</v>
      </c>
      <c r="BP55" s="449">
        <f>'Danh muc'!$X55</f>
        <v>661500</v>
      </c>
      <c r="BQ55" s="322"/>
      <c r="BR55" s="449"/>
      <c r="BS55" s="322"/>
      <c r="BT55" s="449">
        <f>'Danh muc'!N55*0.5%</f>
        <v>31500</v>
      </c>
      <c r="BU55" s="322"/>
      <c r="BV55" s="319">
        <f>' Bảng nhập công'!DE55</f>
        <v>0</v>
      </c>
      <c r="BW55" s="27"/>
      <c r="BX55" s="320">
        <f>' Bảng nhập công'!DF55</f>
        <v>0</v>
      </c>
      <c r="BY55" s="27"/>
      <c r="BZ55" s="320"/>
      <c r="CA55" s="27"/>
      <c r="CB55" s="320"/>
      <c r="CC55" s="27"/>
      <c r="CD55" s="450"/>
      <c r="CE55" s="27"/>
      <c r="CF55" s="321">
        <f t="shared" si="6"/>
        <v>626000</v>
      </c>
      <c r="CG55" s="11" t="s">
        <v>131</v>
      </c>
      <c r="CH55" s="27">
        <f>'Danh muc'!$W55</f>
        <v>1354500</v>
      </c>
      <c r="CI55" s="280"/>
    </row>
    <row r="56" spans="1:87" s="1" customFormat="1" ht="19.5" customHeight="1">
      <c r="A56" s="12">
        <f>'Danh muc'!A56</f>
        <v>49</v>
      </c>
      <c r="B56" s="6">
        <f>'Danh muc'!B56</f>
        <v>22091400</v>
      </c>
      <c r="C56" s="11" t="str">
        <f>'Danh muc'!C56</f>
        <v>Tăng Thị Vành Na</v>
      </c>
      <c r="D56" s="12" t="str">
        <f>'Danh muc'!E56</f>
        <v>Sản xuất</v>
      </c>
      <c r="E56" s="13">
        <f>' Bảng nhập công'!$H56</f>
        <v>0</v>
      </c>
      <c r="F56" s="13">
        <f>$E56*'Danh muc'!$H56</f>
        <v>0</v>
      </c>
      <c r="G56" s="13">
        <f>'Danh muc'!J56</f>
        <v>0</v>
      </c>
      <c r="H56" s="13"/>
      <c r="I56" s="13">
        <f>$H56*'Danh muc'!$I56</f>
        <v>0</v>
      </c>
      <c r="J56" s="13"/>
      <c r="K56" s="13">
        <f>' Bảng nhập công'!J56</f>
        <v>0</v>
      </c>
      <c r="L56" s="13">
        <f>'Danh muc'!L56*'Bảng tính toán'!K56</f>
        <v>0</v>
      </c>
      <c r="M56" s="13"/>
      <c r="N56" s="13"/>
      <c r="O56" s="13"/>
      <c r="P56" s="13"/>
      <c r="Q56" s="316">
        <f>IF((' Bảng nhập công'!$E56+' Bảng nhập công'!$F56)&gt;='Bảng tính toán'!$Q$6,'Bảng tính toán'!$Q$6,(' Bảng nhập công'!$E56+' Bảng nhập công'!$F56))</f>
        <v>0</v>
      </c>
      <c r="R56" s="25">
        <f>$Q56*'Danh muc'!$O56</f>
        <v>0</v>
      </c>
      <c r="S56" s="25">
        <f>'Danh muc'!N56</f>
        <v>5900000</v>
      </c>
      <c r="T56" s="22">
        <f>' Bảng nhập công'!DE56+' Bảng nhập công'!DF56</f>
        <v>0</v>
      </c>
      <c r="U56" s="25">
        <f>IF(OR(' Bảng nhập công'!DE56&gt;=3,' Bảng nhập công'!DF56&gt;=2),0,IF(OR(' Bảng nhập công'!DE56=2,' Bảng nhập công'!DF56=1),('Danh muc'!Q56/2),'Danh muc'!Q56))</f>
        <v>500000</v>
      </c>
      <c r="V56" s="22"/>
      <c r="W56" s="22">
        <f t="shared" si="2"/>
        <v>0</v>
      </c>
      <c r="X56" s="316"/>
      <c r="Y56" s="22"/>
      <c r="Z56" s="22">
        <f t="shared" si="3"/>
        <v>0</v>
      </c>
      <c r="AA56" s="25">
        <f t="shared" si="4"/>
        <v>153846.15384615384</v>
      </c>
      <c r="AB56" s="13">
        <f>'Danh muc'!S56</f>
        <v>200000</v>
      </c>
      <c r="AC56" s="22">
        <f>IF((' Bảng nhập công'!E56+' Bảng nhập công'!F56)&gt;'Bảng tính toán'!$Q$4,(' Bảng nhập công'!E56+' Bảng nhập công'!F56-'Bảng tính toán'!$Q$4),0)+' Bảng nhập công'!G56</f>
        <v>0</v>
      </c>
      <c r="AD56" s="229">
        <f>AC56*'Danh muc'!P56</f>
        <v>0</v>
      </c>
      <c r="AE56" s="23"/>
      <c r="AF56" s="22">
        <f>' Bảng nhập công'!$K56</f>
        <v>0</v>
      </c>
      <c r="AG56" s="229">
        <f>$AF56*'Danh muc'!$V56</f>
        <v>0</v>
      </c>
      <c r="AH56" s="23"/>
      <c r="AI56" s="23">
        <f>' Bảng nhập công'!$L56</f>
        <v>0</v>
      </c>
      <c r="AJ56" s="25">
        <f>$AI56*'Danh muc'!$U56</f>
        <v>0</v>
      </c>
      <c r="AK56" s="13"/>
      <c r="AL56" s="23">
        <f>' Bảng nhập công'!$M56</f>
        <v>0</v>
      </c>
      <c r="AM56" s="229">
        <f>$AL56*'Danh muc'!$T56</f>
        <v>0</v>
      </c>
      <c r="AN56" s="23"/>
      <c r="AO56" s="24">
        <f>' Bảng nhập công'!$DC56</f>
        <v>0</v>
      </c>
      <c r="AP56" s="230">
        <f>$AO56*'Danh muc'!$O56*8</f>
        <v>0</v>
      </c>
      <c r="AQ56" s="445"/>
      <c r="AR56" s="13">
        <f>' Bảng nhập công'!$DD56</f>
        <v>1</v>
      </c>
      <c r="AS56" s="25">
        <f>$AR56*'Danh muc'!$O56*8</f>
        <v>226923.07692307694</v>
      </c>
      <c r="AT56" s="13"/>
      <c r="AU56" s="13"/>
      <c r="AV56" s="13"/>
      <c r="AW56" s="25">
        <f t="shared" si="0"/>
        <v>0</v>
      </c>
      <c r="AX56" s="13"/>
      <c r="AY56" s="13"/>
      <c r="AZ56" s="25"/>
      <c r="BA56" s="25">
        <f t="shared" si="1"/>
        <v>0</v>
      </c>
      <c r="BB56" s="13"/>
      <c r="BC56" s="25"/>
      <c r="BD56" s="13"/>
      <c r="BE56" s="295"/>
      <c r="BF56" s="446"/>
      <c r="BG56" s="295"/>
      <c r="BH56" s="446"/>
      <c r="BI56" s="295"/>
      <c r="BJ56" s="446"/>
      <c r="BK56" s="295"/>
      <c r="BL56" s="448"/>
      <c r="BM56" s="295"/>
      <c r="BN56" s="446"/>
      <c r="BO56" s="317">
        <f t="shared" si="5"/>
        <v>880769.23076923075</v>
      </c>
      <c r="BP56" s="449">
        <f>'Danh muc'!$X56</f>
        <v>619500</v>
      </c>
      <c r="BQ56" s="322"/>
      <c r="BR56" s="449"/>
      <c r="BS56" s="322"/>
      <c r="BT56" s="449">
        <f>'Danh muc'!N56*0.5%</f>
        <v>29500</v>
      </c>
      <c r="BU56" s="322"/>
      <c r="BV56" s="319">
        <f>' Bảng nhập công'!DE56</f>
        <v>0</v>
      </c>
      <c r="BW56" s="27"/>
      <c r="BX56" s="320">
        <f>' Bảng nhập công'!DF56</f>
        <v>0</v>
      </c>
      <c r="BY56" s="27"/>
      <c r="BZ56" s="320"/>
      <c r="CA56" s="27"/>
      <c r="CB56" s="320"/>
      <c r="CC56" s="27"/>
      <c r="CD56" s="450"/>
      <c r="CE56" s="27"/>
      <c r="CF56" s="321">
        <f t="shared" si="6"/>
        <v>231000</v>
      </c>
      <c r="CG56" s="11" t="s">
        <v>131</v>
      </c>
      <c r="CH56" s="27">
        <f>'Danh muc'!$W56</f>
        <v>1268500</v>
      </c>
      <c r="CI56" s="280"/>
    </row>
    <row r="57" spans="1:87" s="1" customFormat="1" ht="19.5" customHeight="1">
      <c r="A57" s="12">
        <f>'Danh muc'!A57</f>
        <v>50</v>
      </c>
      <c r="B57" s="6">
        <f>'Danh muc'!B57</f>
        <v>22040500</v>
      </c>
      <c r="C57" s="11" t="str">
        <f>'Danh muc'!C57</f>
        <v>Nguyễn Thị Ngọc Linh</v>
      </c>
      <c r="D57" s="12" t="str">
        <f>'Danh muc'!E57</f>
        <v>Ngoại Quan</v>
      </c>
      <c r="E57" s="22"/>
      <c r="F57" s="13"/>
      <c r="G57" s="13">
        <f>'Danh muc'!J57</f>
        <v>0</v>
      </c>
      <c r="H57" s="13"/>
      <c r="I57" s="13"/>
      <c r="J57" s="13"/>
      <c r="K57" s="13"/>
      <c r="L57" s="260"/>
      <c r="M57" s="13"/>
      <c r="N57" s="22"/>
      <c r="O57" s="13"/>
      <c r="P57" s="13"/>
      <c r="Q57" s="316">
        <f>IF((' Bảng nhập công'!$E57+' Bảng nhập công'!$F57)&gt;='Bảng tính toán'!$Q$6,'Bảng tính toán'!$Q$6,(' Bảng nhập công'!$E57+' Bảng nhập công'!$F57))</f>
        <v>0</v>
      </c>
      <c r="R57" s="25">
        <f>$Q57*'Danh muc'!$O57</f>
        <v>0</v>
      </c>
      <c r="S57" s="25">
        <f>'Danh muc'!N57</f>
        <v>6100000</v>
      </c>
      <c r="T57" s="22">
        <f>' Bảng nhập công'!DE57+' Bảng nhập công'!DF57</f>
        <v>0</v>
      </c>
      <c r="U57" s="25">
        <f>IF(OR(' Bảng nhập công'!DE57&gt;=3,' Bảng nhập công'!DF57&gt;=2),0,IF(OR(' Bảng nhập công'!DE57=2,' Bảng nhập công'!DF57=1),('Danh muc'!Q57/2),'Danh muc'!Q57))</f>
        <v>500000</v>
      </c>
      <c r="V57" s="22"/>
      <c r="W57" s="22">
        <f t="shared" si="2"/>
        <v>0</v>
      </c>
      <c r="X57" s="316"/>
      <c r="Y57" s="22"/>
      <c r="Z57" s="22">
        <f t="shared" si="3"/>
        <v>0</v>
      </c>
      <c r="AA57" s="25">
        <f t="shared" si="4"/>
        <v>269230.76923076925</v>
      </c>
      <c r="AB57" s="13">
        <f>'Danh muc'!S57</f>
        <v>350000</v>
      </c>
      <c r="AC57" s="22">
        <f>IF(' Bảng nhập công'!E57&gt;'Bảng tính toán'!$Q$4,(' Bảng nhập công'!E57-'Bảng tính toán'!$Q$4),0)+' Bảng nhập công'!G57</f>
        <v>0</v>
      </c>
      <c r="AD57" s="229">
        <f>AC57*'Danh muc'!P57</f>
        <v>0</v>
      </c>
      <c r="AE57" s="23"/>
      <c r="AF57" s="22">
        <f>' Bảng nhập công'!$K57</f>
        <v>0</v>
      </c>
      <c r="AG57" s="229">
        <f>$AF57*'Danh muc'!$V57</f>
        <v>0</v>
      </c>
      <c r="AH57" s="23"/>
      <c r="AI57" s="23">
        <f>' Bảng nhập công'!$L57</f>
        <v>0</v>
      </c>
      <c r="AJ57" s="25">
        <f>$AI57*'Danh muc'!$U57</f>
        <v>0</v>
      </c>
      <c r="AK57" s="13"/>
      <c r="AL57" s="23">
        <f>' Bảng nhập công'!$M57</f>
        <v>0</v>
      </c>
      <c r="AM57" s="229">
        <f>$AL57*'Danh muc'!$T57</f>
        <v>0</v>
      </c>
      <c r="AN57" s="23"/>
      <c r="AO57" s="24">
        <f>' Bảng nhập công'!$DC57</f>
        <v>0</v>
      </c>
      <c r="AP57" s="230">
        <f>$AO57*'Danh muc'!$O57*8</f>
        <v>0</v>
      </c>
      <c r="AQ57" s="445"/>
      <c r="AR57" s="13">
        <f>' Bảng nhập công'!$DD57</f>
        <v>1</v>
      </c>
      <c r="AS57" s="25">
        <f>$AR57*'Danh muc'!$O57*8</f>
        <v>234615.38461538462</v>
      </c>
      <c r="AT57" s="13"/>
      <c r="AU57" s="13"/>
      <c r="AV57" s="13"/>
      <c r="AW57" s="25">
        <f t="shared" si="0"/>
        <v>0</v>
      </c>
      <c r="AX57" s="13"/>
      <c r="AY57" s="13"/>
      <c r="AZ57" s="25"/>
      <c r="BA57" s="25">
        <f t="shared" si="1"/>
        <v>0</v>
      </c>
      <c r="BB57" s="13"/>
      <c r="BC57" s="25"/>
      <c r="BD57" s="13"/>
      <c r="BE57" s="295"/>
      <c r="BF57" s="446"/>
      <c r="BG57" s="295"/>
      <c r="BH57" s="446"/>
      <c r="BI57" s="295"/>
      <c r="BJ57" s="446"/>
      <c r="BK57" s="295"/>
      <c r="BL57" s="448"/>
      <c r="BM57" s="295"/>
      <c r="BN57" s="446"/>
      <c r="BO57" s="317">
        <f t="shared" si="5"/>
        <v>1003846.1538461539</v>
      </c>
      <c r="BP57" s="449">
        <f>'Danh muc'!$X57</f>
        <v>640500</v>
      </c>
      <c r="BQ57" s="322"/>
      <c r="BR57" s="449"/>
      <c r="BS57" s="322"/>
      <c r="BT57" s="449">
        <f>'Danh muc'!N57*0.5%</f>
        <v>30500</v>
      </c>
      <c r="BU57" s="322"/>
      <c r="BV57" s="319">
        <f>' Bảng nhập công'!DE57</f>
        <v>0</v>
      </c>
      <c r="BW57" s="27"/>
      <c r="BX57" s="320">
        <f>' Bảng nhập công'!DF57</f>
        <v>0</v>
      </c>
      <c r="BY57" s="27"/>
      <c r="BZ57" s="320"/>
      <c r="CA57" s="27"/>
      <c r="CB57" s="320"/>
      <c r="CC57" s="27"/>
      <c r="CD57" s="450"/>
      <c r="CE57" s="27"/>
      <c r="CF57" s="321">
        <f t="shared" si="6"/>
        <v>332000</v>
      </c>
      <c r="CG57" s="11" t="s">
        <v>131</v>
      </c>
      <c r="CH57" s="27">
        <f>'Danh muc'!$W57</f>
        <v>1311500</v>
      </c>
      <c r="CI57" s="280"/>
    </row>
    <row r="58" spans="1:87" s="1" customFormat="1" ht="19.5" customHeight="1">
      <c r="A58" s="12">
        <f>'Danh muc'!A58</f>
        <v>51</v>
      </c>
      <c r="B58" s="6">
        <f>'Danh muc'!B58</f>
        <v>23062300</v>
      </c>
      <c r="C58" s="11" t="str">
        <f>'Danh muc'!C58</f>
        <v>Huỳnh Thị Mỹ Nhiên</v>
      </c>
      <c r="D58" s="12" t="str">
        <f>'Danh muc'!E58</f>
        <v>Ngoại Quan</v>
      </c>
      <c r="E58" s="13"/>
      <c r="F58" s="13"/>
      <c r="G58" s="13">
        <f>'Danh muc'!J58</f>
        <v>0</v>
      </c>
      <c r="H58" s="13"/>
      <c r="I58" s="13"/>
      <c r="J58" s="13"/>
      <c r="K58" s="76"/>
      <c r="L58" s="13"/>
      <c r="M58" s="13"/>
      <c r="N58" s="13"/>
      <c r="O58" s="13"/>
      <c r="P58" s="13"/>
      <c r="Q58" s="316">
        <f>IF((' Bảng nhập công'!$E58+' Bảng nhập công'!$F58)&gt;='Bảng tính toán'!$Q$6,'Bảng tính toán'!$Q$6,(' Bảng nhập công'!$E58+' Bảng nhập công'!$F58))</f>
        <v>0</v>
      </c>
      <c r="R58" s="25">
        <f>$Q58*'Danh muc'!$O58</f>
        <v>0</v>
      </c>
      <c r="S58" s="25">
        <f>'Danh muc'!N58</f>
        <v>5700000</v>
      </c>
      <c r="T58" s="22">
        <f>' Bảng nhập công'!DE58+' Bảng nhập công'!DF58</f>
        <v>0</v>
      </c>
      <c r="U58" s="25">
        <f>IF(OR(' Bảng nhập công'!DE58&gt;=3,' Bảng nhập công'!DF58&gt;=2),0,IF(OR(' Bảng nhập công'!DE58=2,' Bảng nhập công'!DF58=1),('Danh muc'!Q58/2),'Danh muc'!Q58))</f>
        <v>500000</v>
      </c>
      <c r="V58" s="22"/>
      <c r="W58" s="22">
        <f t="shared" si="2"/>
        <v>0</v>
      </c>
      <c r="X58" s="316"/>
      <c r="Y58" s="22"/>
      <c r="Z58" s="22">
        <f t="shared" si="3"/>
        <v>0</v>
      </c>
      <c r="AA58" s="25">
        <f t="shared" si="4"/>
        <v>269230.76923076925</v>
      </c>
      <c r="AB58" s="13">
        <f>'Danh muc'!S58</f>
        <v>350000</v>
      </c>
      <c r="AC58" s="22">
        <f>IF(' Bảng nhập công'!E58&gt;'Bảng tính toán'!$Q$6,(' Bảng nhập công'!E58-'Bảng tính toán'!$Q$6),0)+' Bảng nhập công'!G58</f>
        <v>0</v>
      </c>
      <c r="AD58" s="229">
        <f>AC58*'Danh muc'!P58</f>
        <v>0</v>
      </c>
      <c r="AE58" s="23"/>
      <c r="AF58" s="22">
        <f>' Bảng nhập công'!$K58</f>
        <v>0</v>
      </c>
      <c r="AG58" s="229">
        <f>$AF58*'Danh muc'!$V58</f>
        <v>0</v>
      </c>
      <c r="AH58" s="23"/>
      <c r="AI58" s="23">
        <f>' Bảng nhập công'!$L58</f>
        <v>0</v>
      </c>
      <c r="AJ58" s="25">
        <f>$AI58*'Danh muc'!$U58</f>
        <v>0</v>
      </c>
      <c r="AK58" s="13"/>
      <c r="AL58" s="23">
        <f>' Bảng nhập công'!$M58</f>
        <v>0</v>
      </c>
      <c r="AM58" s="229">
        <f>$AL58*'Danh muc'!$T58</f>
        <v>0</v>
      </c>
      <c r="AN58" s="23"/>
      <c r="AO58" s="24">
        <f>' Bảng nhập công'!$DC58</f>
        <v>0</v>
      </c>
      <c r="AP58" s="230">
        <f>$AO58*'Danh muc'!$O58*8</f>
        <v>0</v>
      </c>
      <c r="AQ58" s="445"/>
      <c r="AR58" s="13">
        <f>' Bảng nhập công'!$DD58</f>
        <v>1</v>
      </c>
      <c r="AS58" s="25">
        <f>$AR58*'Danh muc'!$O58*8</f>
        <v>219230.76923076922</v>
      </c>
      <c r="AT58" s="13"/>
      <c r="AU58" s="13"/>
      <c r="AV58" s="13"/>
      <c r="AW58" s="25">
        <f t="shared" si="0"/>
        <v>0</v>
      </c>
      <c r="AX58" s="13"/>
      <c r="AY58" s="13"/>
      <c r="AZ58" s="25"/>
      <c r="BA58" s="25">
        <f t="shared" si="1"/>
        <v>0</v>
      </c>
      <c r="BB58" s="13"/>
      <c r="BC58" s="25"/>
      <c r="BD58" s="13"/>
      <c r="BE58" s="295"/>
      <c r="BF58" s="446"/>
      <c r="BG58" s="295"/>
      <c r="BH58" s="446"/>
      <c r="BI58" s="295"/>
      <c r="BJ58" s="446"/>
      <c r="BK58" s="295"/>
      <c r="BL58" s="448"/>
      <c r="BM58" s="295"/>
      <c r="BN58" s="446"/>
      <c r="BO58" s="317">
        <f t="shared" si="5"/>
        <v>988461.5384615385</v>
      </c>
      <c r="BP58" s="449">
        <f>'Danh muc'!$X58</f>
        <v>598500</v>
      </c>
      <c r="BQ58" s="322"/>
      <c r="BR58" s="449"/>
      <c r="BS58" s="322"/>
      <c r="BT58" s="449">
        <f>'Danh muc'!N58*0.5%</f>
        <v>28500</v>
      </c>
      <c r="BU58" s="322"/>
      <c r="BV58" s="319">
        <f>' Bảng nhập công'!DE58</f>
        <v>0</v>
      </c>
      <c r="BW58" s="27"/>
      <c r="BX58" s="320">
        <f>' Bảng nhập công'!DF58</f>
        <v>0</v>
      </c>
      <c r="BY58" s="27"/>
      <c r="BZ58" s="320"/>
      <c r="CA58" s="27"/>
      <c r="CB58" s="320"/>
      <c r="CC58" s="27"/>
      <c r="CD58" s="450"/>
      <c r="CE58" s="27"/>
      <c r="CF58" s="321">
        <f t="shared" si="6"/>
        <v>361000</v>
      </c>
      <c r="CG58" s="11" t="s">
        <v>131</v>
      </c>
      <c r="CH58" s="27">
        <f>'Danh muc'!$W58</f>
        <v>1225500</v>
      </c>
      <c r="CI58" s="280"/>
    </row>
    <row r="59" spans="1:87" s="1" customFormat="1" ht="19.5" customHeight="1">
      <c r="A59" s="12">
        <f>'Danh muc'!A59</f>
        <v>52</v>
      </c>
      <c r="B59" s="6">
        <f>'Danh muc'!B59</f>
        <v>25061800</v>
      </c>
      <c r="C59" s="11" t="str">
        <f>'Danh muc'!C59</f>
        <v>Nguyễn Huỳnh Minh Phát</v>
      </c>
      <c r="D59" s="12" t="str">
        <f>'Danh muc'!E59</f>
        <v>Sản xuất</v>
      </c>
      <c r="E59" s="76">
        <f>' Bảng nhập công'!H59</f>
        <v>0</v>
      </c>
      <c r="F59" s="13"/>
      <c r="G59" s="13">
        <f>'Danh muc'!J59</f>
        <v>0</v>
      </c>
      <c r="H59" s="13"/>
      <c r="I59" s="13"/>
      <c r="J59" s="13"/>
      <c r="K59" s="13"/>
      <c r="L59" s="13"/>
      <c r="M59" s="13"/>
      <c r="N59" s="13"/>
      <c r="O59" s="13"/>
      <c r="P59" s="13"/>
      <c r="Q59" s="316">
        <f>' Bảng nhập công'!K59*8</f>
        <v>200</v>
      </c>
      <c r="R59" s="25">
        <f>$Q59*'Danh muc'!$O59</f>
        <v>5288461.538461538</v>
      </c>
      <c r="S59" s="25">
        <f>'Danh muc'!N59</f>
        <v>5500000</v>
      </c>
      <c r="T59" s="22">
        <f>' Bảng nhập công'!DE59+' Bảng nhập công'!DF59</f>
        <v>0</v>
      </c>
      <c r="U59" s="25">
        <f>IF(OR(' Bảng nhập công'!DE59&gt;=3,' Bảng nhập công'!DF59&gt;=2),0,IF(OR(' Bảng nhập công'!DE59=2,' Bảng nhập công'!DF59=1),('Danh muc'!Q59/2),'Danh muc'!Q59))</f>
        <v>500000</v>
      </c>
      <c r="V59" s="22"/>
      <c r="W59" s="22">
        <f t="shared" si="2"/>
        <v>0</v>
      </c>
      <c r="X59" s="316"/>
      <c r="Y59" s="22"/>
      <c r="Z59" s="22">
        <f t="shared" si="3"/>
        <v>0</v>
      </c>
      <c r="AA59" s="25">
        <f t="shared" si="4"/>
        <v>2615384.6153846155</v>
      </c>
      <c r="AB59" s="13">
        <f>'Danh muc'!S59</f>
        <v>3400000</v>
      </c>
      <c r="AC59" s="22">
        <f>IF(' Bảng nhập công'!E59&gt;'Bảng tính toán'!$Q$6,(' Bảng nhập công'!E59-'Bảng tính toán'!$Q$6),0)+' Bảng nhập công'!G59</f>
        <v>0</v>
      </c>
      <c r="AD59" s="229">
        <f>AC59*'Danh muc'!P59</f>
        <v>0</v>
      </c>
      <c r="AE59" s="23"/>
      <c r="AF59" s="22">
        <f>' Bảng nhập công'!$K59</f>
        <v>25</v>
      </c>
      <c r="AG59" s="229">
        <f>$AF59*'Danh muc'!$V59</f>
        <v>625000</v>
      </c>
      <c r="AH59" s="23"/>
      <c r="AI59" s="23">
        <f>' Bảng nhập công'!$L59</f>
        <v>0</v>
      </c>
      <c r="AJ59" s="25">
        <f>$AI59*'Danh muc'!$U59</f>
        <v>0</v>
      </c>
      <c r="AK59" s="13"/>
      <c r="AL59" s="23">
        <f>' Bảng nhập công'!$M59</f>
        <v>25</v>
      </c>
      <c r="AM59" s="229">
        <f>$AL59*'Danh muc'!$T59</f>
        <v>375000</v>
      </c>
      <c r="AN59" s="23"/>
      <c r="AO59" s="24">
        <f>' Bảng nhập công'!$DC59</f>
        <v>0</v>
      </c>
      <c r="AP59" s="230">
        <f>$AO59*'Danh muc'!$O59*8</f>
        <v>0</v>
      </c>
      <c r="AQ59" s="445"/>
      <c r="AR59" s="13">
        <f>' Bảng nhập công'!$DD59</f>
        <v>1</v>
      </c>
      <c r="AS59" s="25">
        <f>$AR59*'Danh muc'!$O59*8</f>
        <v>211538.46153846153</v>
      </c>
      <c r="AT59" s="13"/>
      <c r="AU59" s="13"/>
      <c r="AV59" s="13"/>
      <c r="AW59" s="25">
        <f t="shared" si="0"/>
        <v>0</v>
      </c>
      <c r="AX59" s="13"/>
      <c r="AY59" s="13"/>
      <c r="AZ59" s="25"/>
      <c r="BA59" s="25">
        <f t="shared" si="1"/>
        <v>0</v>
      </c>
      <c r="BB59" s="13"/>
      <c r="BC59" s="25"/>
      <c r="BD59" s="13"/>
      <c r="BE59" s="295"/>
      <c r="BF59" s="446"/>
      <c r="BG59" s="295"/>
      <c r="BH59" s="446"/>
      <c r="BI59" s="295"/>
      <c r="BJ59" s="446"/>
      <c r="BK59" s="295"/>
      <c r="BL59" s="448"/>
      <c r="BM59" s="295"/>
      <c r="BN59" s="446"/>
      <c r="BO59" s="317">
        <f t="shared" si="5"/>
        <v>9615384.615384616</v>
      </c>
      <c r="BP59" s="449">
        <f>'Danh muc'!$X59</f>
        <v>577500</v>
      </c>
      <c r="BQ59" s="322"/>
      <c r="BR59" s="449"/>
      <c r="BS59" s="322"/>
      <c r="BT59" s="449">
        <f>'Danh muc'!N59*0.5%</f>
        <v>27500</v>
      </c>
      <c r="BU59" s="322"/>
      <c r="BV59" s="319">
        <f>' Bảng nhập công'!DE59</f>
        <v>0</v>
      </c>
      <c r="BW59" s="27"/>
      <c r="BX59" s="320">
        <f>' Bảng nhập công'!DF59</f>
        <v>0</v>
      </c>
      <c r="BY59" s="27"/>
      <c r="BZ59" s="320"/>
      <c r="CA59" s="27"/>
      <c r="CB59" s="320"/>
      <c r="CC59" s="27"/>
      <c r="CD59" s="450"/>
      <c r="CE59" s="27"/>
      <c r="CF59" s="321">
        <f t="shared" si="6"/>
        <v>9010000</v>
      </c>
      <c r="CG59" s="11" t="s">
        <v>131</v>
      </c>
      <c r="CH59" s="27">
        <f>'Danh muc'!$W59</f>
        <v>1182500</v>
      </c>
      <c r="CI59" s="280"/>
    </row>
    <row r="60" spans="1:87" s="1" customFormat="1" ht="19.5" customHeight="1">
      <c r="A60" s="12">
        <f>'Danh muc'!A60</f>
        <v>53</v>
      </c>
      <c r="B60" s="6">
        <f>'Danh muc'!B60</f>
        <v>25031700</v>
      </c>
      <c r="C60" s="11" t="str">
        <f>'Danh muc'!C60</f>
        <v>Nguyễn Thị Bích Ngọc</v>
      </c>
      <c r="D60" s="12" t="str">
        <f>'Danh muc'!E60</f>
        <v>Sản xuất</v>
      </c>
      <c r="E60" s="76">
        <f>' Bảng nhập công'!H60</f>
        <v>0</v>
      </c>
      <c r="F60" s="13">
        <f>'Danh muc'!H60*E60</f>
        <v>0</v>
      </c>
      <c r="G60" s="13">
        <f>'Danh muc'!J60</f>
        <v>0</v>
      </c>
      <c r="H60" s="13"/>
      <c r="I60" s="13"/>
      <c r="J60" s="13"/>
      <c r="K60" s="13"/>
      <c r="L60" s="13"/>
      <c r="M60" s="23"/>
      <c r="N60" s="13"/>
      <c r="O60" s="13"/>
      <c r="P60" s="13"/>
      <c r="Q60" s="316">
        <f>IF((' Bảng nhập công'!$E60+' Bảng nhập công'!$F60)&gt;='Bảng tính toán'!$Q$6,'Bảng tính toán'!$Q$6,(' Bảng nhập công'!$E60+' Bảng nhập công'!$F60))</f>
        <v>0</v>
      </c>
      <c r="R60" s="25">
        <f>$Q60*'Danh muc'!$O60</f>
        <v>0</v>
      </c>
      <c r="S60" s="25">
        <f>'Danh muc'!N60</f>
        <v>5500000</v>
      </c>
      <c r="T60" s="22">
        <f>' Bảng nhập công'!DE60+' Bảng nhập công'!DF60</f>
        <v>0</v>
      </c>
      <c r="U60" s="25">
        <f>IF(OR(' Bảng nhập công'!DE60&gt;=3,' Bảng nhập công'!DF60&gt;=2),0,IF(OR(' Bảng nhập công'!DE60=2,' Bảng nhập công'!DF60=1),('Danh muc'!Q60/2),'Danh muc'!Q60))</f>
        <v>500000</v>
      </c>
      <c r="V60" s="22"/>
      <c r="W60" s="22">
        <f t="shared" si="2"/>
        <v>0</v>
      </c>
      <c r="X60" s="316"/>
      <c r="Y60" s="22"/>
      <c r="Z60" s="22">
        <f t="shared" si="3"/>
        <v>0</v>
      </c>
      <c r="AA60" s="25">
        <f t="shared" si="4"/>
        <v>38461.538461538461</v>
      </c>
      <c r="AB60" s="13">
        <f>'Danh muc'!S60</f>
        <v>50000</v>
      </c>
      <c r="AC60" s="22">
        <f>IF(' Bảng nhập công'!E60&gt;'Bảng tính toán'!$Q$6,(' Bảng nhập công'!E60-'Bảng tính toán'!$Q$6),0)+' Bảng nhập công'!G60</f>
        <v>0</v>
      </c>
      <c r="AD60" s="229">
        <f>AC60*'Danh muc'!P60</f>
        <v>0</v>
      </c>
      <c r="AE60" s="23"/>
      <c r="AF60" s="22">
        <f>' Bảng nhập công'!$K60</f>
        <v>0</v>
      </c>
      <c r="AG60" s="229">
        <f>$AF60*'Danh muc'!$V60</f>
        <v>0</v>
      </c>
      <c r="AH60" s="23"/>
      <c r="AI60" s="23">
        <f>' Bảng nhập công'!$L60</f>
        <v>0</v>
      </c>
      <c r="AJ60" s="25">
        <f>$AI60*'Danh muc'!$U60</f>
        <v>0</v>
      </c>
      <c r="AK60" s="13"/>
      <c r="AL60" s="23">
        <f>' Bảng nhập công'!$M60</f>
        <v>0</v>
      </c>
      <c r="AM60" s="229">
        <f>$AL60*'Danh muc'!$T60</f>
        <v>0</v>
      </c>
      <c r="AN60" s="23"/>
      <c r="AO60" s="24">
        <f>' Bảng nhập công'!$DC60</f>
        <v>0</v>
      </c>
      <c r="AP60" s="230">
        <f>$AO60*'Danh muc'!$O60*8</f>
        <v>0</v>
      </c>
      <c r="AQ60" s="445"/>
      <c r="AR60" s="13">
        <f>' Bảng nhập công'!$DD60</f>
        <v>1</v>
      </c>
      <c r="AS60" s="25">
        <f>$AR60*'Danh muc'!$O60*8</f>
        <v>211538.46153846153</v>
      </c>
      <c r="AT60" s="13"/>
      <c r="AU60" s="13"/>
      <c r="AV60" s="13"/>
      <c r="AW60" s="25">
        <f t="shared" si="0"/>
        <v>0</v>
      </c>
      <c r="AX60" s="13"/>
      <c r="AY60" s="13"/>
      <c r="AZ60" s="25"/>
      <c r="BA60" s="25">
        <f t="shared" si="1"/>
        <v>0</v>
      </c>
      <c r="BB60" s="13"/>
      <c r="BC60" s="25"/>
      <c r="BD60" s="13"/>
      <c r="BE60" s="295"/>
      <c r="BF60" s="446"/>
      <c r="BG60" s="295"/>
      <c r="BH60" s="446"/>
      <c r="BI60" s="295"/>
      <c r="BJ60" s="446"/>
      <c r="BK60" s="295"/>
      <c r="BL60" s="448"/>
      <c r="BM60" s="295"/>
      <c r="BN60" s="446"/>
      <c r="BO60" s="317">
        <f t="shared" si="5"/>
        <v>750000</v>
      </c>
      <c r="BP60" s="449">
        <f>'Danh muc'!$X60</f>
        <v>577500</v>
      </c>
      <c r="BQ60" s="322"/>
      <c r="BR60" s="449"/>
      <c r="BS60" s="322"/>
      <c r="BT60" s="449">
        <f>'Danh muc'!N60*0.5%</f>
        <v>27500</v>
      </c>
      <c r="BU60" s="322"/>
      <c r="BV60" s="319">
        <f>' Bảng nhập công'!DE60</f>
        <v>0</v>
      </c>
      <c r="BW60" s="27"/>
      <c r="BX60" s="320">
        <f>' Bảng nhập công'!DF60</f>
        <v>0</v>
      </c>
      <c r="BY60" s="27"/>
      <c r="BZ60" s="320"/>
      <c r="CA60" s="27"/>
      <c r="CB60" s="320"/>
      <c r="CC60" s="27"/>
      <c r="CD60" s="450"/>
      <c r="CE60" s="27"/>
      <c r="CF60" s="321">
        <f t="shared" si="6"/>
        <v>145000</v>
      </c>
      <c r="CG60" s="11" t="s">
        <v>131</v>
      </c>
      <c r="CH60" s="27">
        <f>'Danh muc'!$W60</f>
        <v>1182500</v>
      </c>
      <c r="CI60" s="280"/>
    </row>
    <row r="61" spans="1:87" s="1" customFormat="1" ht="19.5" customHeight="1">
      <c r="A61" s="12">
        <f>'Danh muc'!A61</f>
        <v>54</v>
      </c>
      <c r="B61" s="6">
        <f>'Danh muc'!B61</f>
        <v>25060200</v>
      </c>
      <c r="C61" s="11" t="str">
        <f>'Danh muc'!C61</f>
        <v>Nguyễn Thị Thúy Ngọc</v>
      </c>
      <c r="D61" s="12" t="str">
        <f>'Danh muc'!E61</f>
        <v>Ngoại Quan</v>
      </c>
      <c r="E61" s="76">
        <f>' Bảng nhập công'!H61</f>
        <v>0</v>
      </c>
      <c r="F61" s="13">
        <f>'Danh muc'!H61*E61</f>
        <v>0</v>
      </c>
      <c r="G61" s="13">
        <f>'Danh muc'!J61</f>
        <v>0</v>
      </c>
      <c r="H61" s="13"/>
      <c r="I61" s="13"/>
      <c r="J61" s="13"/>
      <c r="K61" s="13"/>
      <c r="L61" s="13"/>
      <c r="M61" s="13"/>
      <c r="N61" s="13"/>
      <c r="O61" s="13"/>
      <c r="P61" s="13"/>
      <c r="Q61" s="316">
        <f>IF((' Bảng nhập công'!$E61+' Bảng nhập công'!$F61)&gt;='Bảng tính toán'!$Q$6,'Bảng tính toán'!$Q$6,(' Bảng nhập công'!$E61+' Bảng nhập công'!$F61))</f>
        <v>0</v>
      </c>
      <c r="R61" s="25">
        <f>$Q61*'Danh muc'!$O61</f>
        <v>0</v>
      </c>
      <c r="S61" s="25">
        <f>'Danh muc'!N61</f>
        <v>5310000</v>
      </c>
      <c r="T61" s="22">
        <f>' Bảng nhập công'!DE61+' Bảng nhập công'!DF61</f>
        <v>0</v>
      </c>
      <c r="U61" s="25">
        <f>IF(OR(' Bảng nhập công'!DE61&gt;=3,' Bảng nhập công'!DF61&gt;=2),0,IF(OR(' Bảng nhập công'!DE61=2,' Bảng nhập công'!DF61=1),('Danh muc'!Q61/2),'Danh muc'!Q61))</f>
        <v>500000</v>
      </c>
      <c r="V61" s="22"/>
      <c r="W61" s="22">
        <f t="shared" si="2"/>
        <v>0</v>
      </c>
      <c r="X61" s="316"/>
      <c r="Y61" s="22"/>
      <c r="Z61" s="22">
        <f t="shared" si="3"/>
        <v>0</v>
      </c>
      <c r="AA61" s="25">
        <f>AB61-(AB61/26*6.5)</f>
        <v>37500</v>
      </c>
      <c r="AB61" s="13">
        <f>'Danh muc'!S61</f>
        <v>50000</v>
      </c>
      <c r="AC61" s="22">
        <f>IF(' Bảng nhập công'!E61&gt;'Bảng tính toán'!$Q$6,(' Bảng nhập công'!E61-'Bảng tính toán'!$Q$6),0)+' Bảng nhập công'!G61</f>
        <v>0</v>
      </c>
      <c r="AD61" s="229">
        <f>AC61*'Danh muc'!P61</f>
        <v>0</v>
      </c>
      <c r="AE61" s="23"/>
      <c r="AF61" s="22">
        <f>' Bảng nhập công'!$K61</f>
        <v>0</v>
      </c>
      <c r="AG61" s="229">
        <f>$AF61*'Danh muc'!$V61</f>
        <v>0</v>
      </c>
      <c r="AH61" s="23"/>
      <c r="AI61" s="23">
        <f>' Bảng nhập công'!$L61</f>
        <v>0</v>
      </c>
      <c r="AJ61" s="25">
        <f>$AI61*'Danh muc'!$U61</f>
        <v>0</v>
      </c>
      <c r="AK61" s="13"/>
      <c r="AL61" s="23">
        <f>' Bảng nhập công'!$M61</f>
        <v>0</v>
      </c>
      <c r="AM61" s="229">
        <f>$AL61*'Danh muc'!$T61</f>
        <v>0</v>
      </c>
      <c r="AN61" s="23"/>
      <c r="AO61" s="24">
        <f>' Bảng nhập công'!$DC61</f>
        <v>0</v>
      </c>
      <c r="AP61" s="230">
        <f>161000*AO61</f>
        <v>0</v>
      </c>
      <c r="AQ61" s="445"/>
      <c r="AR61" s="13">
        <f>' Bảng nhập công'!$DD61</f>
        <v>1</v>
      </c>
      <c r="AS61" s="25">
        <f>161000*AR61</f>
        <v>161000</v>
      </c>
      <c r="AT61" s="13"/>
      <c r="AU61" s="13"/>
      <c r="AV61" s="13"/>
      <c r="AW61" s="25">
        <f t="shared" si="0"/>
        <v>0</v>
      </c>
      <c r="AX61" s="13"/>
      <c r="AY61" s="13"/>
      <c r="AZ61" s="25"/>
      <c r="BA61" s="25">
        <f t="shared" si="1"/>
        <v>0</v>
      </c>
      <c r="BB61" s="13"/>
      <c r="BC61" s="25"/>
      <c r="BD61" s="13"/>
      <c r="BE61" s="295"/>
      <c r="BF61" s="446"/>
      <c r="BG61" s="295"/>
      <c r="BH61" s="446"/>
      <c r="BI61" s="295"/>
      <c r="BJ61" s="446"/>
      <c r="BK61" s="295"/>
      <c r="BL61" s="448"/>
      <c r="BM61" s="295"/>
      <c r="BN61" s="446"/>
      <c r="BO61" s="317">
        <f t="shared" si="5"/>
        <v>698500</v>
      </c>
      <c r="BP61" s="449">
        <f>'Danh muc'!$X61</f>
        <v>557550</v>
      </c>
      <c r="BQ61" s="322"/>
      <c r="BR61" s="449"/>
      <c r="BS61" s="322"/>
      <c r="BT61" s="449">
        <f>'Danh muc'!N61*0.5%</f>
        <v>26550</v>
      </c>
      <c r="BU61" s="322"/>
      <c r="BV61" s="319">
        <f>' Bảng nhập công'!DE61</f>
        <v>0</v>
      </c>
      <c r="BW61" s="27"/>
      <c r="BX61" s="320">
        <f>' Bảng nhập công'!DF61</f>
        <v>0</v>
      </c>
      <c r="BY61" s="27"/>
      <c r="BZ61" s="320"/>
      <c r="CA61" s="27"/>
      <c r="CB61" s="320"/>
      <c r="CC61" s="27"/>
      <c r="CD61" s="450"/>
      <c r="CE61" s="27"/>
      <c r="CF61" s="321">
        <f t="shared" si="6"/>
        <v>114000</v>
      </c>
      <c r="CG61" s="11" t="s">
        <v>131</v>
      </c>
      <c r="CH61" s="27">
        <f>'Danh muc'!$W61</f>
        <v>1141650</v>
      </c>
      <c r="CI61" s="280"/>
    </row>
    <row r="62" spans="1:87" s="1" customFormat="1" ht="19.5" customHeight="1">
      <c r="A62" s="12">
        <f>'Danh muc'!A62</f>
        <v>0</v>
      </c>
      <c r="B62" s="6">
        <f>'Danh muc'!B62</f>
        <v>0</v>
      </c>
      <c r="C62" s="11">
        <f>'Danh muc'!C62</f>
        <v>0</v>
      </c>
      <c r="D62" s="12">
        <f>'Danh muc'!E62</f>
        <v>0</v>
      </c>
      <c r="E62" s="76">
        <f>' Bảng nhập công'!H62</f>
        <v>0</v>
      </c>
      <c r="F62" s="13">
        <f>'Danh muc'!H62*E62</f>
        <v>0</v>
      </c>
      <c r="G62" s="13">
        <f>'Danh muc'!J62</f>
        <v>0</v>
      </c>
      <c r="H62" s="13"/>
      <c r="I62" s="13"/>
      <c r="J62" s="13"/>
      <c r="K62" s="13"/>
      <c r="L62" s="13"/>
      <c r="M62" s="13"/>
      <c r="N62" s="13"/>
      <c r="O62" s="13"/>
      <c r="P62" s="13"/>
      <c r="Q62" s="316">
        <f>IF((' Bảng nhập công'!$E62+' Bảng nhập công'!$F62)&gt;='Bảng tính toán'!$Q$6,'Bảng tính toán'!$Q$6,(' Bảng nhập công'!$E62+' Bảng nhập công'!$F62))</f>
        <v>0</v>
      </c>
      <c r="R62" s="25">
        <f>$Q62*'Danh muc'!$O62</f>
        <v>0</v>
      </c>
      <c r="S62" s="25">
        <f>'Danh muc'!N62</f>
        <v>0</v>
      </c>
      <c r="T62" s="22">
        <f>' Bảng nhập công'!DE62+' Bảng nhập công'!DF62</f>
        <v>0</v>
      </c>
      <c r="U62" s="343">
        <f>IF(OR(' Bảng nhập công'!DE62&gt;=3,' Bảng nhập công'!DF62&gt;=2),0,IF(OR(' Bảng nhập công'!DE62=2,' Bảng nhập công'!DF62=1),('Danh muc'!Q62/2),'Danh muc'!Q62))</f>
        <v>0</v>
      </c>
      <c r="V62" s="22"/>
      <c r="W62" s="22">
        <f t="shared" si="2"/>
        <v>0</v>
      </c>
      <c r="X62" s="316"/>
      <c r="Y62" s="22"/>
      <c r="Z62" s="22">
        <f t="shared" si="3"/>
        <v>0</v>
      </c>
      <c r="AA62" s="25">
        <f t="shared" si="4"/>
        <v>0</v>
      </c>
      <c r="AB62" s="13">
        <f>'Danh muc'!S62</f>
        <v>0</v>
      </c>
      <c r="AC62" s="22">
        <f>IF(' Bảng nhập công'!E62&gt;'Bảng tính toán'!$Q$6,(' Bảng nhập công'!E62-'Bảng tính toán'!$Q$6),0)+' Bảng nhập công'!G62</f>
        <v>0</v>
      </c>
      <c r="AD62" s="229">
        <f>AC62*'Danh muc'!P62</f>
        <v>0</v>
      </c>
      <c r="AE62" s="23"/>
      <c r="AF62" s="22">
        <f>' Bảng nhập công'!$K62</f>
        <v>0</v>
      </c>
      <c r="AG62" s="229">
        <f>$AF62*'Danh muc'!$V62</f>
        <v>0</v>
      </c>
      <c r="AH62" s="23"/>
      <c r="AI62" s="23">
        <f>' Bảng nhập công'!$L62</f>
        <v>0</v>
      </c>
      <c r="AJ62" s="25">
        <f>$AI62*'Danh muc'!$U62</f>
        <v>0</v>
      </c>
      <c r="AK62" s="13"/>
      <c r="AL62" s="23">
        <f>' Bảng nhập công'!$M62</f>
        <v>0</v>
      </c>
      <c r="AM62" s="229">
        <f>$AL62*'Danh muc'!$T62</f>
        <v>0</v>
      </c>
      <c r="AN62" s="23"/>
      <c r="AO62" s="24">
        <f>' Bảng nhập công'!$DC62</f>
        <v>0</v>
      </c>
      <c r="AP62" s="230">
        <f>$AO62*'Danh muc'!$O62*8</f>
        <v>0</v>
      </c>
      <c r="AQ62" s="445"/>
      <c r="AR62" s="13">
        <f>' Bảng nhập công'!$DD62</f>
        <v>0</v>
      </c>
      <c r="AS62" s="25">
        <f>$AR62*'Danh muc'!$O62*8</f>
        <v>0</v>
      </c>
      <c r="AT62" s="13"/>
      <c r="AU62" s="13"/>
      <c r="AV62" s="13"/>
      <c r="AW62" s="25">
        <f t="shared" si="0"/>
        <v>0</v>
      </c>
      <c r="AX62" s="13"/>
      <c r="AY62" s="13"/>
      <c r="AZ62" s="25"/>
      <c r="BA62" s="25">
        <f t="shared" si="1"/>
        <v>0</v>
      </c>
      <c r="BB62" s="13"/>
      <c r="BC62" s="25"/>
      <c r="BD62" s="13"/>
      <c r="BE62" s="295"/>
      <c r="BF62" s="446"/>
      <c r="BG62" s="295"/>
      <c r="BH62" s="446"/>
      <c r="BI62" s="295"/>
      <c r="BJ62" s="446"/>
      <c r="BK62" s="295"/>
      <c r="BL62" s="448"/>
      <c r="BM62" s="295"/>
      <c r="BN62" s="446"/>
      <c r="BO62" s="317">
        <f t="shared" si="5"/>
        <v>0</v>
      </c>
      <c r="BP62" s="449">
        <f>'Danh muc'!$X62</f>
        <v>0</v>
      </c>
      <c r="BQ62" s="322"/>
      <c r="BR62" s="449"/>
      <c r="BS62" s="322"/>
      <c r="BT62" s="449">
        <f>'Danh muc'!N62*0.5%</f>
        <v>0</v>
      </c>
      <c r="BU62" s="322"/>
      <c r="BV62" s="319">
        <f>' Bảng nhập công'!DE62</f>
        <v>0</v>
      </c>
      <c r="BW62" s="27"/>
      <c r="BX62" s="320">
        <f>' Bảng nhập công'!DF62</f>
        <v>0</v>
      </c>
      <c r="BY62" s="27"/>
      <c r="BZ62" s="320"/>
      <c r="CA62" s="27"/>
      <c r="CB62" s="320"/>
      <c r="CC62" s="27"/>
      <c r="CD62" s="450"/>
      <c r="CE62" s="27"/>
      <c r="CF62" s="321">
        <f t="shared" si="6"/>
        <v>0</v>
      </c>
      <c r="CG62" s="11"/>
      <c r="CH62" s="27">
        <f>'Danh muc'!$W62</f>
        <v>0</v>
      </c>
      <c r="CI62" s="280"/>
    </row>
    <row r="63" spans="1:87" s="1" customFormat="1" ht="19.5" customHeight="1">
      <c r="A63" s="12">
        <f>'Danh muc'!A63</f>
        <v>0</v>
      </c>
      <c r="B63" s="6">
        <f>'Danh muc'!B63</f>
        <v>0</v>
      </c>
      <c r="C63" s="11">
        <f>'Danh muc'!C63</f>
        <v>0</v>
      </c>
      <c r="D63" s="12">
        <f>'Danh muc'!E63</f>
        <v>0</v>
      </c>
      <c r="E63" s="76">
        <f>' Bảng nhập công'!H63</f>
        <v>0</v>
      </c>
      <c r="F63" s="13">
        <f>'Danh muc'!H63*E63</f>
        <v>0</v>
      </c>
      <c r="G63" s="13">
        <f>'Danh muc'!J63</f>
        <v>0</v>
      </c>
      <c r="H63" s="13"/>
      <c r="I63" s="13"/>
      <c r="J63" s="13"/>
      <c r="K63" s="13"/>
      <c r="L63" s="13"/>
      <c r="M63" s="13"/>
      <c r="N63" s="13"/>
      <c r="O63" s="13"/>
      <c r="P63" s="13"/>
      <c r="Q63" s="316">
        <f>IF((' Bảng nhập công'!$E63+' Bảng nhập công'!$F63)&gt;='Bảng tính toán'!$Q$6,'Bảng tính toán'!$Q$6,(' Bảng nhập công'!$E63+' Bảng nhập công'!$F63))</f>
        <v>0</v>
      </c>
      <c r="R63" s="25">
        <f>$Q63*'Danh muc'!$O63</f>
        <v>0</v>
      </c>
      <c r="S63" s="25">
        <f>'Danh muc'!N63</f>
        <v>0</v>
      </c>
      <c r="T63" s="22">
        <f>' Bảng nhập công'!DE63+' Bảng nhập công'!DF63</f>
        <v>0</v>
      </c>
      <c r="U63" s="25">
        <f>IF(OR(' Bảng nhập công'!DE63&gt;=3,' Bảng nhập công'!DF63&gt;=2),0,IF(OR(' Bảng nhập công'!DE63=2,' Bảng nhập công'!DF63=1),('Danh muc'!Q63/2),'Danh muc'!Q63))</f>
        <v>0</v>
      </c>
      <c r="V63" s="22"/>
      <c r="W63" s="22">
        <f t="shared" si="2"/>
        <v>0</v>
      </c>
      <c r="X63" s="316"/>
      <c r="Y63" s="22"/>
      <c r="Z63" s="22">
        <f t="shared" si="3"/>
        <v>0</v>
      </c>
      <c r="AA63" s="25">
        <f t="shared" si="4"/>
        <v>0</v>
      </c>
      <c r="AB63" s="13">
        <f>'Danh muc'!S63</f>
        <v>0</v>
      </c>
      <c r="AC63" s="22">
        <f>IF(' Bảng nhập công'!E63&gt;'Bảng tính toán'!$Q$6,(' Bảng nhập công'!E63-'Bảng tính toán'!$Q$6),0)+' Bảng nhập công'!G63</f>
        <v>0</v>
      </c>
      <c r="AD63" s="229">
        <f>AC63*'Danh muc'!P63</f>
        <v>0</v>
      </c>
      <c r="AE63" s="23"/>
      <c r="AF63" s="22">
        <f>' Bảng nhập công'!$K63</f>
        <v>0</v>
      </c>
      <c r="AG63" s="229">
        <f>$AF63*'Danh muc'!$V63</f>
        <v>0</v>
      </c>
      <c r="AH63" s="23"/>
      <c r="AI63" s="23">
        <f>' Bảng nhập công'!$L63</f>
        <v>0</v>
      </c>
      <c r="AJ63" s="25">
        <f>$AI63*'Danh muc'!$U63</f>
        <v>0</v>
      </c>
      <c r="AK63" s="13"/>
      <c r="AL63" s="23">
        <f>' Bảng nhập công'!$M63</f>
        <v>0</v>
      </c>
      <c r="AM63" s="229">
        <f>$AL63*'Danh muc'!$T63</f>
        <v>0</v>
      </c>
      <c r="AN63" s="23"/>
      <c r="AO63" s="24">
        <f>' Bảng nhập công'!$DC63</f>
        <v>0</v>
      </c>
      <c r="AP63" s="230">
        <f>$AO63*'Danh muc'!$O63*8</f>
        <v>0</v>
      </c>
      <c r="AQ63" s="445"/>
      <c r="AR63" s="13">
        <f>' Bảng nhập công'!$DD63</f>
        <v>0</v>
      </c>
      <c r="AS63" s="25">
        <f>$AR63*'Danh muc'!$O63*8</f>
        <v>0</v>
      </c>
      <c r="AT63" s="13"/>
      <c r="AU63" s="13"/>
      <c r="AV63" s="13"/>
      <c r="AW63" s="25">
        <f t="shared" si="0"/>
        <v>0</v>
      </c>
      <c r="AX63" s="13"/>
      <c r="AY63" s="13"/>
      <c r="AZ63" s="25"/>
      <c r="BA63" s="25">
        <f t="shared" si="1"/>
        <v>0</v>
      </c>
      <c r="BB63" s="13"/>
      <c r="BC63" s="25"/>
      <c r="BD63" s="13"/>
      <c r="BE63" s="295"/>
      <c r="BF63" s="446"/>
      <c r="BG63" s="295"/>
      <c r="BH63" s="446"/>
      <c r="BI63" s="295"/>
      <c r="BJ63" s="446"/>
      <c r="BK63" s="295"/>
      <c r="BL63" s="448"/>
      <c r="BM63" s="295"/>
      <c r="BN63" s="446"/>
      <c r="BO63" s="317">
        <f t="shared" si="5"/>
        <v>0</v>
      </c>
      <c r="BP63" s="449">
        <f>'Danh muc'!$X63</f>
        <v>0</v>
      </c>
      <c r="BQ63" s="322"/>
      <c r="BR63" s="449"/>
      <c r="BS63" s="322"/>
      <c r="BT63" s="449">
        <f>'Danh muc'!N63*0.5%</f>
        <v>0</v>
      </c>
      <c r="BU63" s="322"/>
      <c r="BV63" s="319">
        <f>' Bảng nhập công'!DE63</f>
        <v>0</v>
      </c>
      <c r="BW63" s="27"/>
      <c r="BX63" s="320">
        <f>' Bảng nhập công'!DF63</f>
        <v>0</v>
      </c>
      <c r="BY63" s="27"/>
      <c r="BZ63" s="320"/>
      <c r="CA63" s="27"/>
      <c r="CB63" s="320"/>
      <c r="CC63" s="27"/>
      <c r="CD63" s="450"/>
      <c r="CE63" s="27"/>
      <c r="CF63" s="321">
        <f t="shared" si="6"/>
        <v>0</v>
      </c>
      <c r="CG63" s="11"/>
      <c r="CH63" s="27">
        <f>'Danh muc'!$W63</f>
        <v>0</v>
      </c>
      <c r="CI63" s="280"/>
    </row>
    <row r="64" spans="1:87" s="1" customFormat="1" ht="19.5" customHeight="1">
      <c r="A64" s="12">
        <f>'Danh muc'!A64</f>
        <v>0</v>
      </c>
      <c r="B64" s="6">
        <f>'Danh muc'!B64</f>
        <v>0</v>
      </c>
      <c r="C64" s="11">
        <f>'Danh muc'!C64</f>
        <v>0</v>
      </c>
      <c r="D64" s="12">
        <f>'Danh muc'!E64</f>
        <v>0</v>
      </c>
      <c r="E64" s="76">
        <f>' Bảng nhập công'!H64</f>
        <v>0</v>
      </c>
      <c r="F64" s="13">
        <f>'Danh muc'!H64*E64</f>
        <v>0</v>
      </c>
      <c r="G64" s="13">
        <f>'Danh muc'!J64</f>
        <v>0</v>
      </c>
      <c r="H64" s="13">
        <f>' Bảng nhập công'!I64</f>
        <v>0</v>
      </c>
      <c r="I64" s="13">
        <f>'Danh muc'!I64*H64</f>
        <v>0</v>
      </c>
      <c r="J64" s="13"/>
      <c r="K64" s="13"/>
      <c r="L64" s="13"/>
      <c r="M64" s="13"/>
      <c r="N64" s="13"/>
      <c r="O64" s="13"/>
      <c r="P64" s="13"/>
      <c r="Q64" s="316">
        <f>IF((' Bảng nhập công'!$E64+' Bảng nhập công'!$F64)&gt;='Bảng tính toán'!$Q$6,'Bảng tính toán'!$Q$6,(' Bảng nhập công'!$E64+' Bảng nhập công'!$F64))</f>
        <v>0</v>
      </c>
      <c r="R64" s="25">
        <f>$Q64*'Danh muc'!$O64</f>
        <v>0</v>
      </c>
      <c r="S64" s="25">
        <f>'Danh muc'!N64</f>
        <v>0</v>
      </c>
      <c r="T64" s="22">
        <f>' Bảng nhập công'!DE64+' Bảng nhập công'!DF64</f>
        <v>0</v>
      </c>
      <c r="U64" s="25">
        <f>IF(OR(' Bảng nhập công'!DE64&gt;=3,' Bảng nhập công'!DF64&gt;=2),0,IF(OR(' Bảng nhập công'!DE64=2,' Bảng nhập công'!DF64=1),('Danh muc'!Q64/2),'Danh muc'!Q64))</f>
        <v>0</v>
      </c>
      <c r="V64" s="22"/>
      <c r="W64" s="22">
        <f t="shared" si="2"/>
        <v>0</v>
      </c>
      <c r="X64" s="316"/>
      <c r="Y64" s="22"/>
      <c r="Z64" s="22">
        <f t="shared" si="3"/>
        <v>0</v>
      </c>
      <c r="AA64" s="25">
        <f t="shared" si="4"/>
        <v>0</v>
      </c>
      <c r="AB64" s="13">
        <f>'Danh muc'!S64</f>
        <v>0</v>
      </c>
      <c r="AC64" s="22">
        <f>IF(' Bảng nhập công'!E64&gt;'Bảng tính toán'!$Q$6,(' Bảng nhập công'!E64-'Bảng tính toán'!$Q$6),0)+' Bảng nhập công'!G64</f>
        <v>0</v>
      </c>
      <c r="AD64" s="229">
        <f>AC64*'Danh muc'!P64</f>
        <v>0</v>
      </c>
      <c r="AE64" s="23"/>
      <c r="AF64" s="22">
        <f>' Bảng nhập công'!$K64</f>
        <v>0</v>
      </c>
      <c r="AG64" s="229">
        <f>$AF64*'Danh muc'!$V64</f>
        <v>0</v>
      </c>
      <c r="AH64" s="23"/>
      <c r="AI64" s="23">
        <f>' Bảng nhập công'!$L64</f>
        <v>0</v>
      </c>
      <c r="AJ64" s="25">
        <f>$AI64*'Danh muc'!$U64</f>
        <v>0</v>
      </c>
      <c r="AK64" s="13"/>
      <c r="AL64" s="23">
        <f>' Bảng nhập công'!$M64</f>
        <v>0</v>
      </c>
      <c r="AM64" s="229">
        <f>$AL64*'Danh muc'!$T64</f>
        <v>0</v>
      </c>
      <c r="AN64" s="23"/>
      <c r="AO64" s="24">
        <f>' Bảng nhập công'!$DC64</f>
        <v>0</v>
      </c>
      <c r="AP64" s="230">
        <f>$AO64*'Danh muc'!$O64*8</f>
        <v>0</v>
      </c>
      <c r="AQ64" s="445"/>
      <c r="AR64" s="13">
        <f>' Bảng nhập công'!$DD64</f>
        <v>0</v>
      </c>
      <c r="AS64" s="25">
        <f>$AR64*'Danh muc'!$O64*8</f>
        <v>0</v>
      </c>
      <c r="AT64" s="13"/>
      <c r="AU64" s="13"/>
      <c r="AV64" s="13"/>
      <c r="AW64" s="25">
        <f t="shared" si="0"/>
        <v>0</v>
      </c>
      <c r="AX64" s="13"/>
      <c r="AY64" s="13"/>
      <c r="AZ64" s="25"/>
      <c r="BA64" s="25">
        <f t="shared" si="1"/>
        <v>0</v>
      </c>
      <c r="BB64" s="13"/>
      <c r="BC64" s="25"/>
      <c r="BD64" s="13"/>
      <c r="BE64" s="295"/>
      <c r="BF64" s="446"/>
      <c r="BG64" s="295"/>
      <c r="BH64" s="446"/>
      <c r="BI64" s="295"/>
      <c r="BJ64" s="446"/>
      <c r="BK64" s="295"/>
      <c r="BL64" s="448"/>
      <c r="BM64" s="295"/>
      <c r="BN64" s="446"/>
      <c r="BO64" s="317">
        <f t="shared" si="5"/>
        <v>0</v>
      </c>
      <c r="BP64" s="449">
        <f>'Danh muc'!$X64</f>
        <v>0</v>
      </c>
      <c r="BQ64" s="322"/>
      <c r="BR64" s="449"/>
      <c r="BS64" s="322"/>
      <c r="BT64" s="449">
        <f>'Danh muc'!N64*0.5%</f>
        <v>0</v>
      </c>
      <c r="BU64" s="322"/>
      <c r="BV64" s="319">
        <f>' Bảng nhập công'!DE64</f>
        <v>0</v>
      </c>
      <c r="BW64" s="27"/>
      <c r="BX64" s="320">
        <f>' Bảng nhập công'!DF64</f>
        <v>0</v>
      </c>
      <c r="BY64" s="27"/>
      <c r="BZ64" s="320"/>
      <c r="CA64" s="27"/>
      <c r="CB64" s="320"/>
      <c r="CC64" s="27"/>
      <c r="CD64" s="450"/>
      <c r="CE64" s="27"/>
      <c r="CF64" s="321">
        <f t="shared" si="6"/>
        <v>0</v>
      </c>
      <c r="CG64" s="11"/>
      <c r="CH64" s="27">
        <f>'Danh muc'!$W64</f>
        <v>0</v>
      </c>
      <c r="CI64" s="280"/>
    </row>
    <row r="65" spans="1:87" s="1" customFormat="1" ht="19.5" customHeight="1">
      <c r="A65" s="12">
        <f>'Danh muc'!A65</f>
        <v>0</v>
      </c>
      <c r="B65" s="6">
        <f>'Danh muc'!B65</f>
        <v>0</v>
      </c>
      <c r="C65" s="11">
        <f>'Danh muc'!C65</f>
        <v>0</v>
      </c>
      <c r="D65" s="12">
        <f>'Danh muc'!E65</f>
        <v>0</v>
      </c>
      <c r="E65" s="76">
        <f>' Bảng nhập công'!H65</f>
        <v>0</v>
      </c>
      <c r="F65" s="13">
        <f>'Danh muc'!H65*E65</f>
        <v>0</v>
      </c>
      <c r="G65" s="13">
        <f>'Danh muc'!J65</f>
        <v>0</v>
      </c>
      <c r="H65" s="13"/>
      <c r="I65" s="13"/>
      <c r="J65" s="13"/>
      <c r="K65" s="13"/>
      <c r="L65" s="13"/>
      <c r="M65" s="13"/>
      <c r="N65" s="13"/>
      <c r="O65" s="13"/>
      <c r="P65" s="13"/>
      <c r="Q65" s="316">
        <f>IF((' Bảng nhập công'!$E65+' Bảng nhập công'!$F65)&gt;='Bảng tính toán'!$Q$6,'Bảng tính toán'!$Q$6,(' Bảng nhập công'!$E65+' Bảng nhập công'!$F65))</f>
        <v>0</v>
      </c>
      <c r="R65" s="25">
        <f>$Q65*'Danh muc'!$O65</f>
        <v>0</v>
      </c>
      <c r="S65" s="25">
        <f>'Danh muc'!N65</f>
        <v>0</v>
      </c>
      <c r="T65" s="22">
        <f>' Bảng nhập công'!DE65+' Bảng nhập công'!DF65</f>
        <v>0</v>
      </c>
      <c r="U65" s="25">
        <f>IF(OR(' Bảng nhập công'!DE65&gt;=3,' Bảng nhập công'!DF65&gt;=2),0,IF(OR(' Bảng nhập công'!DE65=2,' Bảng nhập công'!DF65=1),('Danh muc'!Q65/2),'Danh muc'!Q65))</f>
        <v>0</v>
      </c>
      <c r="V65" s="22"/>
      <c r="W65" s="22">
        <f t="shared" si="2"/>
        <v>0</v>
      </c>
      <c r="X65" s="316"/>
      <c r="Y65" s="22"/>
      <c r="Z65" s="22">
        <f t="shared" si="3"/>
        <v>0</v>
      </c>
      <c r="AA65" s="25">
        <f t="shared" si="4"/>
        <v>0</v>
      </c>
      <c r="AB65" s="13">
        <f>'Danh muc'!S65</f>
        <v>0</v>
      </c>
      <c r="AC65" s="22">
        <f>IF(' Bảng nhập công'!E65&gt;'Bảng tính toán'!$Q$6,(' Bảng nhập công'!E65-'Bảng tính toán'!$Q$6),0)+' Bảng nhập công'!G65</f>
        <v>0</v>
      </c>
      <c r="AD65" s="229">
        <f>AC65*'Danh muc'!P65</f>
        <v>0</v>
      </c>
      <c r="AE65" s="23"/>
      <c r="AF65" s="22">
        <f>' Bảng nhập công'!$K65</f>
        <v>0</v>
      </c>
      <c r="AG65" s="229">
        <f>$AF65*'Danh muc'!$V65</f>
        <v>0</v>
      </c>
      <c r="AH65" s="23"/>
      <c r="AI65" s="23">
        <f>' Bảng nhập công'!$L65</f>
        <v>0</v>
      </c>
      <c r="AJ65" s="25">
        <f>$AI65*'Danh muc'!$U65</f>
        <v>0</v>
      </c>
      <c r="AK65" s="13"/>
      <c r="AL65" s="23">
        <f>' Bảng nhập công'!$M65</f>
        <v>0</v>
      </c>
      <c r="AM65" s="229">
        <f>$AL65*'Danh muc'!$T65</f>
        <v>0</v>
      </c>
      <c r="AN65" s="23"/>
      <c r="AO65" s="24">
        <f>' Bảng nhập công'!$DC65</f>
        <v>0</v>
      </c>
      <c r="AP65" s="230">
        <f>$AO65*'Danh muc'!$O65*8</f>
        <v>0</v>
      </c>
      <c r="AQ65" s="445"/>
      <c r="AR65" s="13">
        <f>' Bảng nhập công'!$DD65</f>
        <v>0</v>
      </c>
      <c r="AS65" s="25">
        <f>$AR65*'Danh muc'!$O65*8</f>
        <v>0</v>
      </c>
      <c r="AT65" s="13"/>
      <c r="AU65" s="13"/>
      <c r="AV65" s="13"/>
      <c r="AW65" s="25">
        <f t="shared" si="0"/>
        <v>0</v>
      </c>
      <c r="AX65" s="13"/>
      <c r="AY65" s="13"/>
      <c r="AZ65" s="25"/>
      <c r="BA65" s="25">
        <f t="shared" si="1"/>
        <v>0</v>
      </c>
      <c r="BB65" s="13"/>
      <c r="BC65" s="25"/>
      <c r="BD65" s="13"/>
      <c r="BE65" s="295"/>
      <c r="BF65" s="446"/>
      <c r="BG65" s="295"/>
      <c r="BH65" s="446"/>
      <c r="BI65" s="295"/>
      <c r="BJ65" s="446"/>
      <c r="BK65" s="295"/>
      <c r="BL65" s="448"/>
      <c r="BM65" s="295"/>
      <c r="BN65" s="446"/>
      <c r="BO65" s="317">
        <f t="shared" si="5"/>
        <v>0</v>
      </c>
      <c r="BP65" s="449">
        <f>'Danh muc'!$X65</f>
        <v>0</v>
      </c>
      <c r="BQ65" s="322"/>
      <c r="BR65" s="449"/>
      <c r="BS65" s="322"/>
      <c r="BT65" s="449">
        <f>'Danh muc'!N65*0.5%</f>
        <v>0</v>
      </c>
      <c r="BU65" s="322"/>
      <c r="BV65" s="319">
        <f>' Bảng nhập công'!DE65</f>
        <v>0</v>
      </c>
      <c r="BW65" s="27"/>
      <c r="BX65" s="320">
        <f>' Bảng nhập công'!DF65</f>
        <v>0</v>
      </c>
      <c r="BY65" s="27"/>
      <c r="BZ65" s="320"/>
      <c r="CA65" s="27"/>
      <c r="CB65" s="320"/>
      <c r="CC65" s="27"/>
      <c r="CD65" s="450"/>
      <c r="CE65" s="27"/>
      <c r="CF65" s="321">
        <f t="shared" si="6"/>
        <v>0</v>
      </c>
      <c r="CG65" s="11"/>
      <c r="CH65" s="27">
        <f>'Danh muc'!$W65</f>
        <v>0</v>
      </c>
      <c r="CI65" s="280"/>
    </row>
    <row r="66" spans="1:87" s="1" customFormat="1" ht="19.5" customHeight="1">
      <c r="A66" s="12">
        <f>'Danh muc'!A66</f>
        <v>0</v>
      </c>
      <c r="B66" s="6">
        <f>'Danh muc'!B66</f>
        <v>0</v>
      </c>
      <c r="C66" s="11">
        <f>'Danh muc'!C66</f>
        <v>0</v>
      </c>
      <c r="D66" s="12">
        <f>'Danh muc'!E66</f>
        <v>0</v>
      </c>
      <c r="E66" s="13">
        <f>' Bảng nhập công'!H66</f>
        <v>0</v>
      </c>
      <c r="F66" s="13">
        <f>'Danh muc'!H66*'Bảng tính toán'!E66</f>
        <v>0</v>
      </c>
      <c r="G66" s="13">
        <f>'Danh muc'!J66</f>
        <v>0</v>
      </c>
      <c r="H66" s="13"/>
      <c r="I66" s="13"/>
      <c r="J66" s="13"/>
      <c r="K66" s="13"/>
      <c r="L66" s="13"/>
      <c r="M66" s="13"/>
      <c r="N66" s="13"/>
      <c r="O66" s="13"/>
      <c r="P66" s="13"/>
      <c r="Q66" s="316">
        <f>IF((' Bảng nhập công'!$E66+' Bảng nhập công'!$F66)&gt;='Bảng tính toán'!$Q$6,'Bảng tính toán'!$Q$6,(' Bảng nhập công'!$E66+' Bảng nhập công'!$F66))</f>
        <v>0</v>
      </c>
      <c r="R66" s="25">
        <f>$Q66*'Danh muc'!$O66</f>
        <v>0</v>
      </c>
      <c r="S66" s="25">
        <f>'Danh muc'!N66</f>
        <v>0</v>
      </c>
      <c r="T66" s="22">
        <f>' Bảng nhập công'!DE66+' Bảng nhập công'!DF66</f>
        <v>0</v>
      </c>
      <c r="U66" s="25">
        <f>IF(OR(' Bảng nhập công'!DE66&gt;=3,' Bảng nhập công'!DF66&gt;=2),0,IF(OR(' Bảng nhập công'!DE66=2,' Bảng nhập công'!DF66=1),('Danh muc'!Q66/2),'Danh muc'!Q66))</f>
        <v>0</v>
      </c>
      <c r="V66" s="22"/>
      <c r="W66" s="22">
        <f t="shared" si="2"/>
        <v>0</v>
      </c>
      <c r="X66" s="316"/>
      <c r="Y66" s="22"/>
      <c r="Z66" s="22">
        <f t="shared" si="3"/>
        <v>0</v>
      </c>
      <c r="AA66" s="25">
        <f t="shared" si="4"/>
        <v>0</v>
      </c>
      <c r="AB66" s="13">
        <f>'Danh muc'!S66</f>
        <v>0</v>
      </c>
      <c r="AC66" s="22">
        <f>IF(' Bảng nhập công'!E66&gt;'Bảng tính toán'!$Q$6,(' Bảng nhập công'!E66-'Bảng tính toán'!$Q$6),0)+' Bảng nhập công'!G66</f>
        <v>0</v>
      </c>
      <c r="AD66" s="229">
        <f>AC66*'Danh muc'!P66</f>
        <v>0</v>
      </c>
      <c r="AE66" s="23"/>
      <c r="AF66" s="22">
        <f>' Bảng nhập công'!$K66</f>
        <v>0</v>
      </c>
      <c r="AG66" s="229">
        <f>$AF66*'Danh muc'!$V66</f>
        <v>0</v>
      </c>
      <c r="AH66" s="23"/>
      <c r="AI66" s="23">
        <f>' Bảng nhập công'!$L66</f>
        <v>0</v>
      </c>
      <c r="AJ66" s="25">
        <f>$AI66*'Danh muc'!$U66</f>
        <v>0</v>
      </c>
      <c r="AK66" s="13"/>
      <c r="AL66" s="23">
        <f>' Bảng nhập công'!$M66</f>
        <v>0</v>
      </c>
      <c r="AM66" s="229">
        <f>$AL66*'Danh muc'!$T66</f>
        <v>0</v>
      </c>
      <c r="AN66" s="23"/>
      <c r="AO66" s="24">
        <f>' Bảng nhập công'!$DC66</f>
        <v>0</v>
      </c>
      <c r="AP66" s="230">
        <f>$AO66*'Danh muc'!$O66*8</f>
        <v>0</v>
      </c>
      <c r="AQ66" s="445"/>
      <c r="AR66" s="13">
        <f>' Bảng nhập công'!$DD66</f>
        <v>0</v>
      </c>
      <c r="AS66" s="25">
        <f>$AR66*'Danh muc'!$O66*8</f>
        <v>0</v>
      </c>
      <c r="AT66" s="13"/>
      <c r="AU66" s="13"/>
      <c r="AV66" s="13"/>
      <c r="AW66" s="25">
        <f t="shared" si="0"/>
        <v>0</v>
      </c>
      <c r="AX66" s="13"/>
      <c r="AY66" s="13"/>
      <c r="AZ66" s="25"/>
      <c r="BA66" s="25">
        <f t="shared" si="1"/>
        <v>0</v>
      </c>
      <c r="BB66" s="13"/>
      <c r="BC66" s="25"/>
      <c r="BD66" s="13"/>
      <c r="BE66" s="295"/>
      <c r="BF66" s="446"/>
      <c r="BG66" s="295"/>
      <c r="BH66" s="446"/>
      <c r="BI66" s="295"/>
      <c r="BJ66" s="446"/>
      <c r="BK66" s="295"/>
      <c r="BL66" s="448"/>
      <c r="BM66" s="295"/>
      <c r="BN66" s="446"/>
      <c r="BO66" s="317">
        <f t="shared" si="5"/>
        <v>0</v>
      </c>
      <c r="BP66" s="449">
        <f>'Danh muc'!$X66</f>
        <v>0</v>
      </c>
      <c r="BQ66" s="322"/>
      <c r="BR66" s="449"/>
      <c r="BS66" s="322"/>
      <c r="BT66" s="449">
        <f>'Danh muc'!N66*0.5%</f>
        <v>0</v>
      </c>
      <c r="BU66" s="322"/>
      <c r="BV66" s="319">
        <f>' Bảng nhập công'!DE66</f>
        <v>0</v>
      </c>
      <c r="BW66" s="27"/>
      <c r="BX66" s="320">
        <f>' Bảng nhập công'!DF66</f>
        <v>0</v>
      </c>
      <c r="BY66" s="27"/>
      <c r="BZ66" s="320"/>
      <c r="CA66" s="27"/>
      <c r="CB66" s="320"/>
      <c r="CC66" s="27"/>
      <c r="CD66" s="450"/>
      <c r="CE66" s="27"/>
      <c r="CF66" s="321">
        <f t="shared" si="6"/>
        <v>0</v>
      </c>
      <c r="CG66" s="11"/>
      <c r="CH66" s="27">
        <f>'Danh muc'!$W66</f>
        <v>0</v>
      </c>
      <c r="CI66" s="280"/>
    </row>
    <row r="67" spans="1:87" s="1" customFormat="1" ht="19.5" customHeight="1">
      <c r="A67" s="12">
        <f>'Danh muc'!A67</f>
        <v>0</v>
      </c>
      <c r="B67" s="6">
        <f>'Danh muc'!B67</f>
        <v>0</v>
      </c>
      <c r="C67" s="11">
        <f>'Danh muc'!C67</f>
        <v>0</v>
      </c>
      <c r="D67" s="12">
        <f>'Danh muc'!E67</f>
        <v>0</v>
      </c>
      <c r="E67" s="13">
        <f>' Bảng nhập công'!H67</f>
        <v>0</v>
      </c>
      <c r="F67" s="13">
        <f>'Danh muc'!H67*'Bảng tính toán'!E67</f>
        <v>0</v>
      </c>
      <c r="G67" s="13">
        <f>'Danh muc'!J67</f>
        <v>0</v>
      </c>
      <c r="H67" s="13"/>
      <c r="I67" s="13"/>
      <c r="J67" s="13"/>
      <c r="K67" s="13"/>
      <c r="L67" s="13"/>
      <c r="M67" s="13"/>
      <c r="N67" s="13"/>
      <c r="O67" s="13"/>
      <c r="P67" s="13"/>
      <c r="Q67" s="316">
        <f>IF((' Bảng nhập công'!$E67+' Bảng nhập công'!$F67)&gt;='Bảng tính toán'!$Q$4,'Bảng tính toán'!$Q$4,(' Bảng nhập công'!$E67+' Bảng nhập công'!$F67))</f>
        <v>0</v>
      </c>
      <c r="R67" s="25">
        <f>$Q67*'Danh muc'!$O67</f>
        <v>0</v>
      </c>
      <c r="S67" s="25">
        <f>'Danh muc'!N67</f>
        <v>0</v>
      </c>
      <c r="T67" s="22">
        <f>' Bảng nhập công'!DE67+' Bảng nhập công'!DF67</f>
        <v>0</v>
      </c>
      <c r="U67" s="25">
        <f>IF(OR(' Bảng nhập công'!DE67&gt;=3,' Bảng nhập công'!DF67&gt;=2),0,IF(OR(' Bảng nhập công'!DE67=2,' Bảng nhập công'!DF67=1),('Danh muc'!Q67/2),'Danh muc'!Q67))</f>
        <v>0</v>
      </c>
      <c r="V67" s="22"/>
      <c r="W67" s="22">
        <f t="shared" si="2"/>
        <v>0</v>
      </c>
      <c r="X67" s="316"/>
      <c r="Y67" s="22"/>
      <c r="Z67" s="22">
        <f t="shared" si="3"/>
        <v>0</v>
      </c>
      <c r="AA67" s="25">
        <f t="shared" si="4"/>
        <v>0</v>
      </c>
      <c r="AB67" s="13">
        <f>'Danh muc'!S67</f>
        <v>0</v>
      </c>
      <c r="AC67" s="22">
        <f>IF(' Bảng nhập công'!E67&gt;'Bảng tính toán'!$Q$6,(' Bảng nhập công'!E67-'Bảng tính toán'!$Q$6),0)+' Bảng nhập công'!G67</f>
        <v>0</v>
      </c>
      <c r="AD67" s="229">
        <f>AC67*'Danh muc'!P67</f>
        <v>0</v>
      </c>
      <c r="AE67" s="23"/>
      <c r="AF67" s="22">
        <f>' Bảng nhập công'!$K67</f>
        <v>0</v>
      </c>
      <c r="AG67" s="229">
        <f>$AF67*'Danh muc'!$V67</f>
        <v>0</v>
      </c>
      <c r="AH67" s="23"/>
      <c r="AI67" s="23">
        <f>' Bảng nhập công'!$L67</f>
        <v>0</v>
      </c>
      <c r="AJ67" s="25">
        <f>$AI67*'Danh muc'!$U67</f>
        <v>0</v>
      </c>
      <c r="AK67" s="13"/>
      <c r="AL67" s="23">
        <f>' Bảng nhập công'!$M67</f>
        <v>0</v>
      </c>
      <c r="AM67" s="229">
        <f>$AL67*'Danh muc'!$T67</f>
        <v>0</v>
      </c>
      <c r="AN67" s="23"/>
      <c r="AO67" s="24">
        <f>' Bảng nhập công'!$DC67</f>
        <v>0</v>
      </c>
      <c r="AP67" s="230">
        <f>$AO67*'Danh muc'!$O67*8</f>
        <v>0</v>
      </c>
      <c r="AQ67" s="445"/>
      <c r="AR67" s="13">
        <f>' Bảng nhập công'!$DD67</f>
        <v>0</v>
      </c>
      <c r="AS67" s="25">
        <f>$AR67*'Danh muc'!$O67*8</f>
        <v>0</v>
      </c>
      <c r="AT67" s="13"/>
      <c r="AU67" s="13"/>
      <c r="AV67" s="13"/>
      <c r="AW67" s="25">
        <f t="shared" si="0"/>
        <v>0</v>
      </c>
      <c r="AX67" s="13"/>
      <c r="AY67" s="13"/>
      <c r="AZ67" s="25"/>
      <c r="BA67" s="25">
        <f t="shared" si="1"/>
        <v>0</v>
      </c>
      <c r="BB67" s="13"/>
      <c r="BC67" s="25"/>
      <c r="BD67" s="13"/>
      <c r="BE67" s="295"/>
      <c r="BF67" s="447"/>
      <c r="BG67" s="295"/>
      <c r="BH67" s="446"/>
      <c r="BI67" s="295"/>
      <c r="BJ67" s="446"/>
      <c r="BK67" s="295"/>
      <c r="BL67" s="448"/>
      <c r="BM67" s="295"/>
      <c r="BN67" s="446"/>
      <c r="BO67" s="317">
        <f t="shared" si="5"/>
        <v>0</v>
      </c>
      <c r="BP67" s="449">
        <f>'Danh muc'!$X67</f>
        <v>0</v>
      </c>
      <c r="BQ67" s="322"/>
      <c r="BR67" s="449"/>
      <c r="BS67" s="322"/>
      <c r="BT67" s="449">
        <f>'Danh muc'!N67*0.5%</f>
        <v>0</v>
      </c>
      <c r="BU67" s="322"/>
      <c r="BV67" s="319">
        <f>' Bảng nhập công'!DE67</f>
        <v>0</v>
      </c>
      <c r="BW67" s="27"/>
      <c r="BX67" s="320">
        <f>' Bảng nhập công'!DF67</f>
        <v>0</v>
      </c>
      <c r="BY67" s="27"/>
      <c r="BZ67" s="320"/>
      <c r="CA67" s="27"/>
      <c r="CB67" s="320"/>
      <c r="CC67" s="27"/>
      <c r="CD67" s="450"/>
      <c r="CE67" s="27"/>
      <c r="CF67" s="321">
        <f t="shared" si="6"/>
        <v>0</v>
      </c>
      <c r="CG67" s="11"/>
      <c r="CH67" s="27">
        <f>'Danh muc'!$W67</f>
        <v>0</v>
      </c>
      <c r="CI67" s="280"/>
    </row>
    <row r="68" spans="1:87" s="1" customFormat="1" ht="19.5" customHeight="1">
      <c r="A68" s="12">
        <f>'Danh muc'!A68</f>
        <v>0</v>
      </c>
      <c r="B68" s="6">
        <f>'Danh muc'!B68</f>
        <v>0</v>
      </c>
      <c r="C68" s="11">
        <f>'Danh muc'!C68</f>
        <v>0</v>
      </c>
      <c r="D68" s="12">
        <f>'Danh muc'!E68</f>
        <v>0</v>
      </c>
      <c r="E68" s="13">
        <f>' Bảng nhập công'!H68</f>
        <v>0</v>
      </c>
      <c r="F68" s="13">
        <f>'Danh muc'!H68*'Bảng tính toán'!E68</f>
        <v>0</v>
      </c>
      <c r="G68" s="13">
        <f>'Danh muc'!J68</f>
        <v>0</v>
      </c>
      <c r="H68" s="13"/>
      <c r="I68" s="13"/>
      <c r="J68" s="13"/>
      <c r="K68" s="13">
        <f>' Bảng nhập công'!J68</f>
        <v>0</v>
      </c>
      <c r="L68" s="13">
        <f>K68*'Danh muc'!L68</f>
        <v>0</v>
      </c>
      <c r="M68" s="13"/>
      <c r="N68" s="13"/>
      <c r="O68" s="13"/>
      <c r="P68" s="13"/>
      <c r="Q68" s="316">
        <f>IF((' Bảng nhập công'!$E68+' Bảng nhập công'!$F68)&gt;='Bảng tính toán'!$Q$4,'Bảng tính toán'!$Q$4,(' Bảng nhập công'!$E68+' Bảng nhập công'!$F68))</f>
        <v>0</v>
      </c>
      <c r="R68" s="25">
        <f>$Q68*'Danh muc'!$O68</f>
        <v>0</v>
      </c>
      <c r="S68" s="25">
        <f>'Danh muc'!N68</f>
        <v>0</v>
      </c>
      <c r="T68" s="22">
        <f>' Bảng nhập công'!DE68+' Bảng nhập công'!DF68</f>
        <v>0</v>
      </c>
      <c r="U68" s="25">
        <f>IF(OR(' Bảng nhập công'!DE68&gt;=3,' Bảng nhập công'!DF68&gt;=2),0,IF(OR(' Bảng nhập công'!DE68=2,' Bảng nhập công'!DF68=1),('Danh muc'!Q68/2),'Danh muc'!Q68))</f>
        <v>0</v>
      </c>
      <c r="V68" s="22"/>
      <c r="W68" s="22">
        <f t="shared" si="2"/>
        <v>0</v>
      </c>
      <c r="X68" s="316"/>
      <c r="Y68" s="22"/>
      <c r="Z68" s="22">
        <f t="shared" si="3"/>
        <v>0</v>
      </c>
      <c r="AA68" s="25">
        <f t="shared" si="4"/>
        <v>0</v>
      </c>
      <c r="AB68" s="13">
        <f>'Danh muc'!S68</f>
        <v>0</v>
      </c>
      <c r="AC68" s="22">
        <f>IF(' Bảng nhập công'!E68&gt;'Bảng tính toán'!$Q$6,(' Bảng nhập công'!E68-'Bảng tính toán'!$Q$6),0)+' Bảng nhập công'!G68</f>
        <v>0</v>
      </c>
      <c r="AD68" s="229">
        <f>AC68*'Danh muc'!P68</f>
        <v>0</v>
      </c>
      <c r="AE68" s="23"/>
      <c r="AF68" s="22">
        <f>' Bảng nhập công'!$K68</f>
        <v>0</v>
      </c>
      <c r="AG68" s="229">
        <f>$AF68*'Danh muc'!$V68</f>
        <v>0</v>
      </c>
      <c r="AH68" s="23"/>
      <c r="AI68" s="23">
        <f>' Bảng nhập công'!$L68</f>
        <v>0</v>
      </c>
      <c r="AJ68" s="25">
        <f>$AI68*'Danh muc'!$U68</f>
        <v>0</v>
      </c>
      <c r="AK68" s="13"/>
      <c r="AL68" s="23">
        <f>' Bảng nhập công'!$M68</f>
        <v>0</v>
      </c>
      <c r="AM68" s="229">
        <f>$AL68*'Danh muc'!$T68</f>
        <v>0</v>
      </c>
      <c r="AN68" s="23"/>
      <c r="AO68" s="24">
        <f>' Bảng nhập công'!$DC68</f>
        <v>0</v>
      </c>
      <c r="AP68" s="230">
        <f>$AO68*'Danh muc'!$O68*8</f>
        <v>0</v>
      </c>
      <c r="AQ68" s="445"/>
      <c r="AR68" s="13">
        <f>' Bảng nhập công'!$DD68</f>
        <v>0</v>
      </c>
      <c r="AS68" s="25">
        <f>$AR68*'Danh muc'!$O68*8</f>
        <v>0</v>
      </c>
      <c r="AT68" s="13"/>
      <c r="AU68" s="13"/>
      <c r="AV68" s="13"/>
      <c r="AW68" s="25">
        <f t="shared" si="0"/>
        <v>0</v>
      </c>
      <c r="AX68" s="13"/>
      <c r="AY68" s="13"/>
      <c r="AZ68" s="25"/>
      <c r="BA68" s="25">
        <f t="shared" si="1"/>
        <v>0</v>
      </c>
      <c r="BB68" s="13"/>
      <c r="BC68" s="25"/>
      <c r="BD68" s="13"/>
      <c r="BE68" s="295"/>
      <c r="BF68" s="446"/>
      <c r="BG68" s="295"/>
      <c r="BH68" s="446"/>
      <c r="BI68" s="295"/>
      <c r="BJ68" s="446"/>
      <c r="BK68" s="295"/>
      <c r="BL68" s="448"/>
      <c r="BM68" s="295"/>
      <c r="BN68" s="446"/>
      <c r="BO68" s="317">
        <f t="shared" si="5"/>
        <v>0</v>
      </c>
      <c r="BP68" s="449">
        <f>'Danh muc'!$X68</f>
        <v>0</v>
      </c>
      <c r="BQ68" s="322"/>
      <c r="BR68" s="449"/>
      <c r="BS68" s="322"/>
      <c r="BT68" s="449">
        <f>'Danh muc'!N68*0.5%</f>
        <v>0</v>
      </c>
      <c r="BU68" s="322"/>
      <c r="BV68" s="319">
        <f>' Bảng nhập công'!DE68</f>
        <v>0</v>
      </c>
      <c r="BW68" s="27"/>
      <c r="BX68" s="320">
        <f>' Bảng nhập công'!DF68</f>
        <v>0</v>
      </c>
      <c r="BY68" s="27"/>
      <c r="BZ68" s="320"/>
      <c r="CA68" s="27"/>
      <c r="CB68" s="320"/>
      <c r="CC68" s="27"/>
      <c r="CD68" s="450"/>
      <c r="CE68" s="27"/>
      <c r="CF68" s="321">
        <f t="shared" si="6"/>
        <v>0</v>
      </c>
      <c r="CG68" s="11"/>
      <c r="CH68" s="27">
        <f>'Danh muc'!$W68</f>
        <v>0</v>
      </c>
      <c r="CI68" s="280"/>
    </row>
    <row r="69" spans="1:87" s="1" customFormat="1" ht="19.5" customHeight="1">
      <c r="A69" s="12">
        <f>'Danh muc'!A69</f>
        <v>0</v>
      </c>
      <c r="B69" s="6">
        <f>'Danh muc'!B69</f>
        <v>0</v>
      </c>
      <c r="C69" s="11">
        <f>'Danh muc'!C69</f>
        <v>0</v>
      </c>
      <c r="D69" s="12">
        <f>'Danh muc'!E69</f>
        <v>0</v>
      </c>
      <c r="E69" s="22">
        <f>' Bảng nhập công'!H69</f>
        <v>0</v>
      </c>
      <c r="F69" s="13">
        <f>'Danh muc'!H69*'Bảng tính toán'!E69</f>
        <v>0</v>
      </c>
      <c r="G69" s="13">
        <f>'Danh muc'!J69</f>
        <v>0</v>
      </c>
      <c r="H69" s="76">
        <f>' Bảng nhập công'!I69</f>
        <v>0</v>
      </c>
      <c r="I69" s="260">
        <f>H69*'Danh muc'!I69</f>
        <v>0</v>
      </c>
      <c r="J69" s="13"/>
      <c r="K69" s="13"/>
      <c r="L69" s="13"/>
      <c r="M69" s="13"/>
      <c r="N69" s="13"/>
      <c r="O69" s="13"/>
      <c r="P69" s="13"/>
      <c r="Q69" s="316">
        <f>IF((' Bảng nhập công'!$E69+' Bảng nhập công'!$F69)&gt;='Bảng tính toán'!$Q$4,'Bảng tính toán'!$Q$4,(' Bảng nhập công'!$E69+' Bảng nhập công'!$F69))</f>
        <v>0</v>
      </c>
      <c r="R69" s="25">
        <f>$Q69*'Danh muc'!$O69</f>
        <v>0</v>
      </c>
      <c r="S69" s="25">
        <f>'Danh muc'!N69</f>
        <v>0</v>
      </c>
      <c r="T69" s="22">
        <f>' Bảng nhập công'!DE69+' Bảng nhập công'!DF69</f>
        <v>0</v>
      </c>
      <c r="U69" s="25">
        <f>IF(OR(' Bảng nhập công'!DE69&gt;=3,' Bảng nhập công'!DF69&gt;=2),0,IF(OR(' Bảng nhập công'!DE69=2,' Bảng nhập công'!DF69=1),('Danh muc'!Q69/2),'Danh muc'!Q69))</f>
        <v>0</v>
      </c>
      <c r="V69" s="22"/>
      <c r="W69" s="22">
        <f t="shared" si="2"/>
        <v>0</v>
      </c>
      <c r="X69" s="316"/>
      <c r="Y69" s="22"/>
      <c r="Z69" s="22">
        <f t="shared" si="3"/>
        <v>0</v>
      </c>
      <c r="AA69" s="25">
        <f t="shared" si="4"/>
        <v>0</v>
      </c>
      <c r="AB69" s="13">
        <f>'Danh muc'!S69</f>
        <v>0</v>
      </c>
      <c r="AC69" s="22">
        <f>IF(' Bảng nhập công'!E69&gt;'Bảng tính toán'!$Q$6,(' Bảng nhập công'!E69-'Bảng tính toán'!$Q$6),0)+' Bảng nhập công'!G69</f>
        <v>0</v>
      </c>
      <c r="AD69" s="229">
        <f>AC69*'Danh muc'!P69</f>
        <v>0</v>
      </c>
      <c r="AE69" s="23"/>
      <c r="AF69" s="22">
        <f>' Bảng nhập công'!$K69</f>
        <v>0</v>
      </c>
      <c r="AG69" s="229">
        <f>$AF69*'Danh muc'!$V69</f>
        <v>0</v>
      </c>
      <c r="AH69" s="23"/>
      <c r="AI69" s="23">
        <f>' Bảng nhập công'!$L69</f>
        <v>0</v>
      </c>
      <c r="AJ69" s="25">
        <f>$AI69*'Danh muc'!$U69</f>
        <v>0</v>
      </c>
      <c r="AK69" s="13"/>
      <c r="AL69" s="23">
        <f>' Bảng nhập công'!$M69</f>
        <v>0</v>
      </c>
      <c r="AM69" s="229">
        <f>$AL69*'Danh muc'!$T69</f>
        <v>0</v>
      </c>
      <c r="AN69" s="23"/>
      <c r="AO69" s="24">
        <f>' Bảng nhập công'!$DC69</f>
        <v>0</v>
      </c>
      <c r="AP69" s="230">
        <f>$AO69*'Danh muc'!$O69*8</f>
        <v>0</v>
      </c>
      <c r="AQ69" s="445"/>
      <c r="AR69" s="13">
        <f>' Bảng nhập công'!$DD69</f>
        <v>0</v>
      </c>
      <c r="AS69" s="25">
        <f>$AR69*'Danh muc'!$O69*8</f>
        <v>0</v>
      </c>
      <c r="AT69" s="13"/>
      <c r="AU69" s="13"/>
      <c r="AV69" s="13"/>
      <c r="AW69" s="25">
        <f t="shared" si="0"/>
        <v>0</v>
      </c>
      <c r="AX69" s="13"/>
      <c r="AY69" s="13"/>
      <c r="AZ69" s="25"/>
      <c r="BA69" s="25">
        <f t="shared" si="1"/>
        <v>0</v>
      </c>
      <c r="BB69" s="13"/>
      <c r="BC69" s="25"/>
      <c r="BD69" s="13"/>
      <c r="BE69" s="295"/>
      <c r="BF69" s="446"/>
      <c r="BG69" s="295"/>
      <c r="BH69" s="446"/>
      <c r="BI69" s="295"/>
      <c r="BJ69" s="446"/>
      <c r="BK69" s="295"/>
      <c r="BL69" s="448"/>
      <c r="BM69" s="295"/>
      <c r="BN69" s="446"/>
      <c r="BO69" s="317">
        <f t="shared" si="5"/>
        <v>0</v>
      </c>
      <c r="BP69" s="449">
        <f>'Danh muc'!$X69</f>
        <v>0</v>
      </c>
      <c r="BQ69" s="322"/>
      <c r="BR69" s="449"/>
      <c r="BS69" s="322"/>
      <c r="BT69" s="449">
        <f>'Danh muc'!N69*0.5%</f>
        <v>0</v>
      </c>
      <c r="BU69" s="322"/>
      <c r="BV69" s="319">
        <f>' Bảng nhập công'!DE69</f>
        <v>0</v>
      </c>
      <c r="BW69" s="27"/>
      <c r="BX69" s="320">
        <f>' Bảng nhập công'!DF69</f>
        <v>0</v>
      </c>
      <c r="BY69" s="27"/>
      <c r="BZ69" s="320"/>
      <c r="CA69" s="27"/>
      <c r="CB69" s="320"/>
      <c r="CC69" s="27"/>
      <c r="CD69" s="450"/>
      <c r="CE69" s="27"/>
      <c r="CF69" s="321">
        <f t="shared" si="6"/>
        <v>0</v>
      </c>
      <c r="CG69" s="11"/>
      <c r="CH69" s="27">
        <f>'Danh muc'!$W69</f>
        <v>0</v>
      </c>
      <c r="CI69" s="280"/>
    </row>
    <row r="70" spans="1:87" s="1" customFormat="1" ht="19.5" customHeight="1">
      <c r="A70" s="12">
        <f>'Danh muc'!A70</f>
        <v>0</v>
      </c>
      <c r="B70" s="6">
        <f>'Danh muc'!B70</f>
        <v>0</v>
      </c>
      <c r="C70" s="11">
        <f>'Danh muc'!C70</f>
        <v>0</v>
      </c>
      <c r="D70" s="12">
        <f>'Danh muc'!E70</f>
        <v>0</v>
      </c>
      <c r="E70" s="13"/>
      <c r="F70" s="13"/>
      <c r="G70" s="13">
        <f>'Danh muc'!J70</f>
        <v>0</v>
      </c>
      <c r="H70" s="13"/>
      <c r="I70" s="13"/>
      <c r="J70" s="13"/>
      <c r="K70" s="13"/>
      <c r="L70" s="13"/>
      <c r="M70" s="13"/>
      <c r="N70" s="13"/>
      <c r="O70" s="13"/>
      <c r="P70" s="13"/>
      <c r="Q70" s="316">
        <f>IF((' Bảng nhập công'!$E70+' Bảng nhập công'!$F70)&gt;='Bảng tính toán'!$Q$4,'Bảng tính toán'!$Q$4,(' Bảng nhập công'!$E70+' Bảng nhập công'!$F70))</f>
        <v>0</v>
      </c>
      <c r="R70" s="25">
        <f>$Q70*'Danh muc'!$O70</f>
        <v>0</v>
      </c>
      <c r="S70" s="25">
        <f>'Danh muc'!N70</f>
        <v>0</v>
      </c>
      <c r="T70" s="22">
        <f>' Bảng nhập công'!DE70+' Bảng nhập công'!DF70</f>
        <v>0</v>
      </c>
      <c r="U70" s="25">
        <f>IF(OR(' Bảng nhập công'!DE70&gt;=3,' Bảng nhập công'!DF70&gt;=2),0,IF(OR(' Bảng nhập công'!DE70=2,' Bảng nhập công'!DF70=1),('Danh muc'!Q70/2),'Danh muc'!Q70))</f>
        <v>0</v>
      </c>
      <c r="V70" s="22"/>
      <c r="W70" s="22">
        <f t="shared" si="2"/>
        <v>0</v>
      </c>
      <c r="X70" s="316"/>
      <c r="Y70" s="22"/>
      <c r="Z70" s="22">
        <f t="shared" si="3"/>
        <v>0</v>
      </c>
      <c r="AA70" s="25">
        <f t="shared" si="4"/>
        <v>0</v>
      </c>
      <c r="AB70" s="13">
        <f>'Danh muc'!S70</f>
        <v>0</v>
      </c>
      <c r="AC70" s="22">
        <f>IF(' Bảng nhập công'!E70&gt;'Bảng tính toán'!$Q$6,(' Bảng nhập công'!E70-'Bảng tính toán'!$Q$6),0)+' Bảng nhập công'!G70</f>
        <v>0</v>
      </c>
      <c r="AD70" s="229">
        <f>AC70*'Danh muc'!P70</f>
        <v>0</v>
      </c>
      <c r="AE70" s="23"/>
      <c r="AF70" s="22">
        <f>' Bảng nhập công'!$K70</f>
        <v>0</v>
      </c>
      <c r="AG70" s="229">
        <f>$AF70*'Danh muc'!$V70</f>
        <v>0</v>
      </c>
      <c r="AH70" s="23"/>
      <c r="AI70" s="23">
        <f>' Bảng nhập công'!$L70</f>
        <v>0</v>
      </c>
      <c r="AJ70" s="25">
        <f>$AI70*'Danh muc'!$U70</f>
        <v>0</v>
      </c>
      <c r="AK70" s="13"/>
      <c r="AL70" s="23">
        <f>' Bảng nhập công'!$M70</f>
        <v>0</v>
      </c>
      <c r="AM70" s="229">
        <f>$AL70*'Danh muc'!$T70</f>
        <v>0</v>
      </c>
      <c r="AN70" s="23"/>
      <c r="AO70" s="24">
        <f>' Bảng nhập công'!$DC70</f>
        <v>0</v>
      </c>
      <c r="AP70" s="230">
        <f>$AO70*'Danh muc'!$O70*8</f>
        <v>0</v>
      </c>
      <c r="AQ70" s="445"/>
      <c r="AR70" s="13">
        <f>' Bảng nhập công'!$DD70</f>
        <v>0</v>
      </c>
      <c r="AS70" s="25">
        <f>$AR70*'Danh muc'!$O70*8</f>
        <v>0</v>
      </c>
      <c r="AT70" s="13"/>
      <c r="AU70" s="13"/>
      <c r="AV70" s="13"/>
      <c r="AW70" s="25">
        <f t="shared" si="0"/>
        <v>0</v>
      </c>
      <c r="AX70" s="13"/>
      <c r="AY70" s="13"/>
      <c r="AZ70" s="25"/>
      <c r="BA70" s="25">
        <f t="shared" si="1"/>
        <v>0</v>
      </c>
      <c r="BB70" s="13"/>
      <c r="BC70" s="25"/>
      <c r="BD70" s="13"/>
      <c r="BE70" s="295"/>
      <c r="BF70" s="446"/>
      <c r="BG70" s="295"/>
      <c r="BH70" s="446"/>
      <c r="BI70" s="295"/>
      <c r="BJ70" s="446"/>
      <c r="BK70" s="295"/>
      <c r="BL70" s="448"/>
      <c r="BM70" s="295"/>
      <c r="BN70" s="446"/>
      <c r="BO70" s="317">
        <f t="shared" si="5"/>
        <v>0</v>
      </c>
      <c r="BP70" s="449">
        <f>'Danh muc'!$X70</f>
        <v>0</v>
      </c>
      <c r="BQ70" s="322"/>
      <c r="BR70" s="449"/>
      <c r="BS70" s="322"/>
      <c r="BT70" s="449">
        <f>'Danh muc'!N70*0.5%</f>
        <v>0</v>
      </c>
      <c r="BU70" s="322"/>
      <c r="BV70" s="319">
        <f>' Bảng nhập công'!DE70</f>
        <v>0</v>
      </c>
      <c r="BW70" s="27"/>
      <c r="BX70" s="320">
        <f>' Bảng nhập công'!DF70</f>
        <v>0</v>
      </c>
      <c r="BY70" s="27"/>
      <c r="BZ70" s="320"/>
      <c r="CA70" s="27"/>
      <c r="CB70" s="320"/>
      <c r="CC70" s="27"/>
      <c r="CD70" s="450"/>
      <c r="CE70" s="27"/>
      <c r="CF70" s="321">
        <f t="shared" si="6"/>
        <v>0</v>
      </c>
      <c r="CG70" s="11"/>
      <c r="CH70" s="27">
        <f>'Danh muc'!$W70</f>
        <v>0</v>
      </c>
      <c r="CI70" s="280"/>
    </row>
    <row r="71" spans="1:87" s="1" customFormat="1" ht="19.5" customHeight="1">
      <c r="A71" s="12">
        <f>'Danh muc'!A71</f>
        <v>0</v>
      </c>
      <c r="B71" s="6">
        <f>'Danh muc'!B71</f>
        <v>0</v>
      </c>
      <c r="C71" s="11">
        <f>'Danh muc'!C71</f>
        <v>0</v>
      </c>
      <c r="D71" s="12">
        <f>'Danh muc'!E71</f>
        <v>0</v>
      </c>
      <c r="E71" s="13"/>
      <c r="F71" s="13"/>
      <c r="G71" s="13">
        <f>'Danh muc'!J71</f>
        <v>0</v>
      </c>
      <c r="H71" s="13"/>
      <c r="I71" s="13"/>
      <c r="J71" s="13"/>
      <c r="K71" s="13"/>
      <c r="L71" s="13"/>
      <c r="M71" s="13"/>
      <c r="N71" s="13"/>
      <c r="O71" s="13"/>
      <c r="P71" s="13"/>
      <c r="Q71" s="316">
        <f>IF((' Bảng nhập công'!$E71+' Bảng nhập công'!$F71)&gt;='Bảng tính toán'!$Q$4,'Bảng tính toán'!$Q$4,(' Bảng nhập công'!$E71+' Bảng nhập công'!$F71))</f>
        <v>0</v>
      </c>
      <c r="R71" s="25">
        <f>$Q71*'Danh muc'!$O71</f>
        <v>0</v>
      </c>
      <c r="S71" s="25">
        <f>'Danh muc'!N71</f>
        <v>0</v>
      </c>
      <c r="T71" s="22">
        <f>' Bảng nhập công'!DE71+' Bảng nhập công'!DF71</f>
        <v>0</v>
      </c>
      <c r="U71" s="25">
        <f>IF(OR(' Bảng nhập công'!DE71&gt;=3,' Bảng nhập công'!DF71&gt;=2),0,IF(OR(' Bảng nhập công'!DE71=2,' Bảng nhập công'!DF71=1),('Danh muc'!Q71/2),'Danh muc'!Q71))</f>
        <v>0</v>
      </c>
      <c r="V71" s="22"/>
      <c r="W71" s="22">
        <f t="shared" si="2"/>
        <v>0</v>
      </c>
      <c r="X71" s="316"/>
      <c r="Y71" s="22"/>
      <c r="Z71" s="22">
        <f t="shared" si="3"/>
        <v>0</v>
      </c>
      <c r="AA71" s="25">
        <f t="shared" si="4"/>
        <v>0</v>
      </c>
      <c r="AB71" s="13">
        <f>'Danh muc'!S71</f>
        <v>0</v>
      </c>
      <c r="AC71" s="22">
        <f>IF(' Bảng nhập công'!E71&gt;'Bảng tính toán'!$Q$6,(' Bảng nhập công'!E71-'Bảng tính toán'!$Q$6),0)+' Bảng nhập công'!G71</f>
        <v>0</v>
      </c>
      <c r="AD71" s="229">
        <f>AC71*'Danh muc'!P71</f>
        <v>0</v>
      </c>
      <c r="AE71" s="23"/>
      <c r="AF71" s="22">
        <f>' Bảng nhập công'!$K71</f>
        <v>0</v>
      </c>
      <c r="AG71" s="229">
        <f>$AF71*'Danh muc'!$V71</f>
        <v>0</v>
      </c>
      <c r="AH71" s="23"/>
      <c r="AI71" s="23">
        <f>' Bảng nhập công'!$L71</f>
        <v>0</v>
      </c>
      <c r="AJ71" s="25">
        <f>$AI71*'Danh muc'!$U71</f>
        <v>0</v>
      </c>
      <c r="AK71" s="13"/>
      <c r="AL71" s="23">
        <f>' Bảng nhập công'!$M71</f>
        <v>0</v>
      </c>
      <c r="AM71" s="229">
        <f>$AL71*'Danh muc'!$T71</f>
        <v>0</v>
      </c>
      <c r="AN71" s="23"/>
      <c r="AO71" s="24">
        <f>' Bảng nhập công'!$DC71</f>
        <v>0</v>
      </c>
      <c r="AP71" s="230">
        <f>$AO71*'Danh muc'!$O71*8</f>
        <v>0</v>
      </c>
      <c r="AQ71" s="445"/>
      <c r="AR71" s="13">
        <f>' Bảng nhập công'!$DD71</f>
        <v>0</v>
      </c>
      <c r="AS71" s="25">
        <f>$AR71*'Danh muc'!$O71*8</f>
        <v>0</v>
      </c>
      <c r="AT71" s="13"/>
      <c r="AU71" s="13"/>
      <c r="AV71" s="13"/>
      <c r="AW71" s="25">
        <f t="shared" si="0"/>
        <v>0</v>
      </c>
      <c r="AX71" s="13"/>
      <c r="AY71" s="13"/>
      <c r="AZ71" s="25"/>
      <c r="BA71" s="25">
        <f t="shared" si="1"/>
        <v>0</v>
      </c>
      <c r="BB71" s="13"/>
      <c r="BC71" s="25"/>
      <c r="BD71" s="13"/>
      <c r="BE71" s="295"/>
      <c r="BF71" s="446"/>
      <c r="BG71" s="295"/>
      <c r="BH71" s="446"/>
      <c r="BI71" s="295"/>
      <c r="BJ71" s="446"/>
      <c r="BK71" s="295"/>
      <c r="BL71" s="448"/>
      <c r="BM71" s="295"/>
      <c r="BN71" s="446"/>
      <c r="BO71" s="317">
        <f t="shared" si="5"/>
        <v>0</v>
      </c>
      <c r="BP71" s="449">
        <f>'Danh muc'!$X71</f>
        <v>0</v>
      </c>
      <c r="BQ71" s="322"/>
      <c r="BR71" s="449"/>
      <c r="BS71" s="322"/>
      <c r="BT71" s="449">
        <f>'Danh muc'!N71*0.5%</f>
        <v>0</v>
      </c>
      <c r="BU71" s="322"/>
      <c r="BV71" s="319">
        <f>' Bảng nhập công'!DE71</f>
        <v>0</v>
      </c>
      <c r="BW71" s="27"/>
      <c r="BX71" s="320">
        <f>' Bảng nhập công'!DF71</f>
        <v>0</v>
      </c>
      <c r="BY71" s="27"/>
      <c r="BZ71" s="320"/>
      <c r="CA71" s="27"/>
      <c r="CB71" s="320"/>
      <c r="CC71" s="27"/>
      <c r="CD71" s="450"/>
      <c r="CE71" s="27"/>
      <c r="CF71" s="321">
        <f t="shared" si="6"/>
        <v>0</v>
      </c>
      <c r="CG71" s="11"/>
      <c r="CH71" s="27">
        <f>'Danh muc'!$W71</f>
        <v>0</v>
      </c>
      <c r="CI71" s="280"/>
    </row>
    <row r="72" spans="1:87" s="1" customFormat="1" ht="19.5" customHeight="1">
      <c r="A72" s="12">
        <f>'Danh muc'!A72</f>
        <v>0</v>
      </c>
      <c r="B72" s="6">
        <f>'Danh muc'!B72</f>
        <v>0</v>
      </c>
      <c r="C72" s="11">
        <f>'Danh muc'!C72</f>
        <v>0</v>
      </c>
      <c r="D72" s="12">
        <f>'Danh muc'!E72</f>
        <v>0</v>
      </c>
      <c r="E72" s="13"/>
      <c r="F72" s="13"/>
      <c r="G72" s="13">
        <f>'Danh muc'!J72</f>
        <v>0</v>
      </c>
      <c r="H72" s="13"/>
      <c r="I72" s="13"/>
      <c r="J72" s="13"/>
      <c r="K72" s="13"/>
      <c r="L72" s="13"/>
      <c r="M72" s="13"/>
      <c r="N72" s="13"/>
      <c r="O72" s="13"/>
      <c r="P72" s="13"/>
      <c r="Q72" s="316">
        <f>IF((' Bảng nhập công'!$E72+' Bảng nhập công'!$F72)&gt;='Bảng tính toán'!$Q$4,'Bảng tính toán'!$Q$4,(' Bảng nhập công'!$E72+' Bảng nhập công'!$F72))</f>
        <v>0</v>
      </c>
      <c r="R72" s="25">
        <f>$Q72*'Danh muc'!$O72</f>
        <v>0</v>
      </c>
      <c r="S72" s="25">
        <f>'Danh muc'!N72</f>
        <v>0</v>
      </c>
      <c r="T72" s="22">
        <f>' Bảng nhập công'!DE72+' Bảng nhập công'!DF72</f>
        <v>0</v>
      </c>
      <c r="U72" s="25">
        <f>IF(OR(' Bảng nhập công'!DE72&gt;=3,' Bảng nhập công'!DF72&gt;=2),0,IF(OR(' Bảng nhập công'!DE72=2,' Bảng nhập công'!DF72=1),('Danh muc'!Q72/2),'Danh muc'!Q72))</f>
        <v>0</v>
      </c>
      <c r="V72" s="22"/>
      <c r="W72" s="22">
        <f t="shared" si="2"/>
        <v>0</v>
      </c>
      <c r="X72" s="316"/>
      <c r="Y72" s="22"/>
      <c r="Z72" s="22">
        <f t="shared" si="3"/>
        <v>0</v>
      </c>
      <c r="AA72" s="25">
        <f t="shared" si="4"/>
        <v>0</v>
      </c>
      <c r="AB72" s="13">
        <f>'Danh muc'!S72</f>
        <v>0</v>
      </c>
      <c r="AC72" s="22">
        <f>IF(' Bảng nhập công'!E72&gt;'Bảng tính toán'!$Q$6,(' Bảng nhập công'!E72-'Bảng tính toán'!$Q$6),0)+' Bảng nhập công'!G72</f>
        <v>0</v>
      </c>
      <c r="AD72" s="229">
        <f>AC72*'Danh muc'!P72</f>
        <v>0</v>
      </c>
      <c r="AE72" s="23"/>
      <c r="AF72" s="22">
        <f>' Bảng nhập công'!$K72</f>
        <v>0</v>
      </c>
      <c r="AG72" s="229">
        <f>$AF72*'Danh muc'!$V72</f>
        <v>0</v>
      </c>
      <c r="AH72" s="23"/>
      <c r="AI72" s="23">
        <f>' Bảng nhập công'!$L72</f>
        <v>0</v>
      </c>
      <c r="AJ72" s="25">
        <f>$AI72*'Danh muc'!$U72</f>
        <v>0</v>
      </c>
      <c r="AK72" s="13"/>
      <c r="AL72" s="23">
        <f>' Bảng nhập công'!$M72</f>
        <v>0</v>
      </c>
      <c r="AM72" s="229">
        <f>$AL72*'Danh muc'!$T72</f>
        <v>0</v>
      </c>
      <c r="AN72" s="23"/>
      <c r="AO72" s="24">
        <f>' Bảng nhập công'!$DC72</f>
        <v>0</v>
      </c>
      <c r="AP72" s="230">
        <f>$AO72*'Danh muc'!$O72*8</f>
        <v>0</v>
      </c>
      <c r="AQ72" s="445"/>
      <c r="AR72" s="13">
        <f>' Bảng nhập công'!$DD72</f>
        <v>0</v>
      </c>
      <c r="AS72" s="25">
        <f>$AR72*'Danh muc'!$O72*8</f>
        <v>0</v>
      </c>
      <c r="AT72" s="13"/>
      <c r="AU72" s="13"/>
      <c r="AV72" s="13"/>
      <c r="AW72" s="25">
        <f t="shared" ref="AW72:AW78" si="7">AV72*AU72</f>
        <v>0</v>
      </c>
      <c r="AX72" s="13"/>
      <c r="AY72" s="13"/>
      <c r="AZ72" s="25"/>
      <c r="BA72" s="25">
        <f t="shared" ref="BA72:BA78" si="8">AZ72*AY72</f>
        <v>0</v>
      </c>
      <c r="BB72" s="13"/>
      <c r="BC72" s="25"/>
      <c r="BD72" s="13"/>
      <c r="BE72" s="295"/>
      <c r="BF72" s="446"/>
      <c r="BG72" s="295"/>
      <c r="BH72" s="446"/>
      <c r="BI72" s="295"/>
      <c r="BJ72" s="446"/>
      <c r="BK72" s="295"/>
      <c r="BL72" s="448"/>
      <c r="BM72" s="295"/>
      <c r="BN72" s="446"/>
      <c r="BO72" s="317">
        <f t="shared" si="5"/>
        <v>0</v>
      </c>
      <c r="BP72" s="449">
        <f>'Danh muc'!$X72</f>
        <v>0</v>
      </c>
      <c r="BQ72" s="322"/>
      <c r="BR72" s="449"/>
      <c r="BS72" s="322"/>
      <c r="BT72" s="449">
        <f>'Danh muc'!N72*0.5%</f>
        <v>0</v>
      </c>
      <c r="BU72" s="322"/>
      <c r="BV72" s="319">
        <f>' Bảng nhập công'!DE72</f>
        <v>0</v>
      </c>
      <c r="BW72" s="27"/>
      <c r="BX72" s="320">
        <f>' Bảng nhập công'!DF72</f>
        <v>0</v>
      </c>
      <c r="BY72" s="27"/>
      <c r="BZ72" s="320"/>
      <c r="CA72" s="27"/>
      <c r="CB72" s="320"/>
      <c r="CC72" s="27"/>
      <c r="CD72" s="450"/>
      <c r="CE72" s="27"/>
      <c r="CF72" s="321">
        <f t="shared" si="6"/>
        <v>0</v>
      </c>
      <c r="CG72" s="11"/>
      <c r="CH72" s="27">
        <f>'Danh muc'!$W72</f>
        <v>0</v>
      </c>
      <c r="CI72" s="280"/>
    </row>
    <row r="73" spans="1:87" s="1" customFormat="1" ht="19.5" customHeight="1">
      <c r="A73" s="12">
        <f>'Danh muc'!A73</f>
        <v>0</v>
      </c>
      <c r="B73" s="6">
        <f>'Danh muc'!B73</f>
        <v>0</v>
      </c>
      <c r="C73" s="11">
        <f>'Danh muc'!C73</f>
        <v>0</v>
      </c>
      <c r="D73" s="12">
        <f>'Danh muc'!E73</f>
        <v>0</v>
      </c>
      <c r="E73" s="13"/>
      <c r="F73" s="13"/>
      <c r="G73" s="13">
        <f>'Danh muc'!J73</f>
        <v>0</v>
      </c>
      <c r="H73" s="13"/>
      <c r="I73" s="13"/>
      <c r="J73" s="13"/>
      <c r="K73" s="13"/>
      <c r="L73" s="13"/>
      <c r="M73" s="13"/>
      <c r="N73" s="13"/>
      <c r="O73" s="13"/>
      <c r="P73" s="13"/>
      <c r="Q73" s="316">
        <f>IF((' Bảng nhập công'!$E73+' Bảng nhập công'!$F73)&gt;='Bảng tính toán'!$Q$4,'Bảng tính toán'!$Q$4,(' Bảng nhập công'!$E73+' Bảng nhập công'!$F73))</f>
        <v>0</v>
      </c>
      <c r="R73" s="25">
        <f>$Q73*'Danh muc'!$O73</f>
        <v>0</v>
      </c>
      <c r="S73" s="25">
        <f>'Danh muc'!N73</f>
        <v>0</v>
      </c>
      <c r="T73" s="22">
        <f>' Bảng nhập công'!DE73+' Bảng nhập công'!DF73</f>
        <v>0</v>
      </c>
      <c r="U73" s="25">
        <f>IF(OR(' Bảng nhập công'!DE73&gt;=3,' Bảng nhập công'!DF73&gt;=2),0,IF(OR(' Bảng nhập công'!DE73=2,' Bảng nhập công'!DF73=1),('Danh muc'!Q73/2),'Danh muc'!Q73))</f>
        <v>0</v>
      </c>
      <c r="V73" s="22"/>
      <c r="W73" s="22">
        <f t="shared" ref="W73:W78" si="9">T73</f>
        <v>0</v>
      </c>
      <c r="X73" s="316"/>
      <c r="Y73" s="22"/>
      <c r="Z73" s="22">
        <f t="shared" si="3"/>
        <v>0</v>
      </c>
      <c r="AA73" s="25">
        <f t="shared" ref="AA73:AA78" si="10">AB73-(AB73/26*6)</f>
        <v>0</v>
      </c>
      <c r="AB73" s="13">
        <f>'Danh muc'!S73</f>
        <v>0</v>
      </c>
      <c r="AC73" s="22">
        <f>IF(' Bảng nhập công'!E73&gt;'Bảng tính toán'!$Q$6,(' Bảng nhập công'!E73-'Bảng tính toán'!$Q$6),0)+' Bảng nhập công'!G73</f>
        <v>0</v>
      </c>
      <c r="AD73" s="229">
        <f>AC73*'Danh muc'!P73</f>
        <v>0</v>
      </c>
      <c r="AE73" s="23"/>
      <c r="AF73" s="22">
        <f>' Bảng nhập công'!$K73</f>
        <v>0</v>
      </c>
      <c r="AG73" s="229">
        <f>$AF73*'Danh muc'!$V73</f>
        <v>0</v>
      </c>
      <c r="AH73" s="23"/>
      <c r="AI73" s="23">
        <f>' Bảng nhập công'!$L73</f>
        <v>0</v>
      </c>
      <c r="AJ73" s="25">
        <f>$AI73*'Danh muc'!$U73</f>
        <v>0</v>
      </c>
      <c r="AK73" s="13"/>
      <c r="AL73" s="23">
        <f>' Bảng nhập công'!$M73</f>
        <v>0</v>
      </c>
      <c r="AM73" s="229">
        <f>$AL73*'Danh muc'!$T73</f>
        <v>0</v>
      </c>
      <c r="AN73" s="23"/>
      <c r="AO73" s="24">
        <f>' Bảng nhập công'!$DC73</f>
        <v>0</v>
      </c>
      <c r="AP73" s="230">
        <f>$AO73*'Danh muc'!$O73*8</f>
        <v>0</v>
      </c>
      <c r="AQ73" s="445"/>
      <c r="AR73" s="13">
        <f>' Bảng nhập công'!$DD73</f>
        <v>0</v>
      </c>
      <c r="AS73" s="25">
        <f>$AR73*'Danh muc'!$O73*8</f>
        <v>0</v>
      </c>
      <c r="AT73" s="13"/>
      <c r="AU73" s="13"/>
      <c r="AV73" s="13"/>
      <c r="AW73" s="25">
        <f t="shared" si="7"/>
        <v>0</v>
      </c>
      <c r="AX73" s="13"/>
      <c r="AY73" s="13"/>
      <c r="AZ73" s="25"/>
      <c r="BA73" s="25">
        <f t="shared" si="8"/>
        <v>0</v>
      </c>
      <c r="BB73" s="13"/>
      <c r="BC73" s="25"/>
      <c r="BD73" s="13"/>
      <c r="BE73" s="295"/>
      <c r="BF73" s="446"/>
      <c r="BG73" s="295"/>
      <c r="BH73" s="446"/>
      <c r="BI73" s="295"/>
      <c r="BJ73" s="446"/>
      <c r="BK73" s="295"/>
      <c r="BL73" s="448"/>
      <c r="BM73" s="295"/>
      <c r="BN73" s="446"/>
      <c r="BO73" s="317">
        <f t="shared" ref="BO73:BO78" si="11">F73+I73+L73+O73+R73+U73+AA73+AD73+AG73+AJ73+AM73+AP73+AS73+AW73+BA73+BC73+BE73+BG73+BI73+BK73+BM73</f>
        <v>0</v>
      </c>
      <c r="BP73" s="449">
        <f>'Danh muc'!$X73</f>
        <v>0</v>
      </c>
      <c r="BQ73" s="322"/>
      <c r="BR73" s="449"/>
      <c r="BS73" s="322"/>
      <c r="BT73" s="449">
        <f>'Danh muc'!N73*0.5%</f>
        <v>0</v>
      </c>
      <c r="BU73" s="322"/>
      <c r="BV73" s="319">
        <f>' Bảng nhập công'!DE73</f>
        <v>0</v>
      </c>
      <c r="BW73" s="27"/>
      <c r="BX73" s="320">
        <f>' Bảng nhập công'!DF73</f>
        <v>0</v>
      </c>
      <c r="BY73" s="27"/>
      <c r="BZ73" s="320"/>
      <c r="CA73" s="27"/>
      <c r="CB73" s="320"/>
      <c r="CC73" s="27"/>
      <c r="CD73" s="450"/>
      <c r="CE73" s="27"/>
      <c r="CF73" s="321">
        <f t="shared" ref="CF73:CF78" si="12">FLOOR((BO73-BP73-BR73-BT73-CD73),1000)</f>
        <v>0</v>
      </c>
      <c r="CG73" s="11"/>
      <c r="CH73" s="27">
        <f>'Danh muc'!$W73</f>
        <v>0</v>
      </c>
      <c r="CI73" s="280"/>
    </row>
    <row r="74" spans="1:87" s="1" customFormat="1" ht="19.5" customHeight="1">
      <c r="A74" s="12">
        <f>'Danh muc'!A74</f>
        <v>0</v>
      </c>
      <c r="B74" s="6">
        <f>'Danh muc'!B74</f>
        <v>0</v>
      </c>
      <c r="C74" s="11">
        <f>'Danh muc'!C74</f>
        <v>0</v>
      </c>
      <c r="D74" s="12">
        <f>'Danh muc'!E74</f>
        <v>0</v>
      </c>
      <c r="E74" s="13"/>
      <c r="F74" s="13"/>
      <c r="G74" s="13">
        <f>'Danh muc'!J74</f>
        <v>0</v>
      </c>
      <c r="H74" s="13"/>
      <c r="I74" s="13"/>
      <c r="J74" s="13"/>
      <c r="K74" s="13"/>
      <c r="L74" s="13"/>
      <c r="M74" s="13"/>
      <c r="N74" s="13"/>
      <c r="O74" s="13"/>
      <c r="P74" s="13"/>
      <c r="Q74" s="316">
        <f>IF((' Bảng nhập công'!$E74+' Bảng nhập công'!$F74)&gt;='Bảng tính toán'!$Q$4,'Bảng tính toán'!$Q$4,(' Bảng nhập công'!$E74+' Bảng nhập công'!$F74))</f>
        <v>0</v>
      </c>
      <c r="R74" s="25">
        <f>$Q74*'Danh muc'!$O74</f>
        <v>0</v>
      </c>
      <c r="S74" s="25">
        <f>'Danh muc'!N74</f>
        <v>0</v>
      </c>
      <c r="T74" s="22">
        <f>' Bảng nhập công'!DE74+' Bảng nhập công'!DF74</f>
        <v>0</v>
      </c>
      <c r="U74" s="25">
        <f>IF(OR(' Bảng nhập công'!DE74&gt;=3,' Bảng nhập công'!DF74&gt;=2),0,IF(OR(' Bảng nhập công'!DE74=2,' Bảng nhập công'!DF74=1),('Danh muc'!Q74/2),'Danh muc'!Q74))</f>
        <v>0</v>
      </c>
      <c r="V74" s="22"/>
      <c r="W74" s="22">
        <f t="shared" si="9"/>
        <v>0</v>
      </c>
      <c r="X74" s="316"/>
      <c r="Y74" s="22"/>
      <c r="Z74" s="22">
        <f>T74</f>
        <v>0</v>
      </c>
      <c r="AA74" s="25">
        <f t="shared" si="10"/>
        <v>0</v>
      </c>
      <c r="AB74" s="13">
        <f>'Danh muc'!S74</f>
        <v>0</v>
      </c>
      <c r="AC74" s="22">
        <f>IF(' Bảng nhập công'!E74&gt;'Bảng tính toán'!$Q$4,(' Bảng nhập công'!E74-'Bảng tính toán'!$Q$4),0)+' Bảng nhập công'!G74</f>
        <v>0</v>
      </c>
      <c r="AD74" s="229">
        <f>AC74*'Danh muc'!P74</f>
        <v>0</v>
      </c>
      <c r="AE74" s="23"/>
      <c r="AF74" s="22">
        <f>' Bảng nhập công'!$K74</f>
        <v>0</v>
      </c>
      <c r="AG74" s="229">
        <f>$AF74*'Danh muc'!$V74</f>
        <v>0</v>
      </c>
      <c r="AH74" s="23"/>
      <c r="AI74" s="23">
        <f>' Bảng nhập công'!$L74</f>
        <v>0</v>
      </c>
      <c r="AJ74" s="25">
        <f>$AI74*'Danh muc'!$U74</f>
        <v>0</v>
      </c>
      <c r="AK74" s="13"/>
      <c r="AL74" s="23">
        <f>' Bảng nhập công'!$M74</f>
        <v>0</v>
      </c>
      <c r="AM74" s="229">
        <f>$AL74*'Danh muc'!$T74</f>
        <v>0</v>
      </c>
      <c r="AN74" s="23"/>
      <c r="AO74" s="24">
        <f>' Bảng nhập công'!$DC74</f>
        <v>0</v>
      </c>
      <c r="AP74" s="230">
        <f>$AO74*'Danh muc'!$O74*8</f>
        <v>0</v>
      </c>
      <c r="AQ74" s="445"/>
      <c r="AR74" s="13">
        <f>' Bảng nhập công'!$DD74</f>
        <v>0</v>
      </c>
      <c r="AS74" s="25">
        <f>$AR74*'Danh muc'!$O74*8</f>
        <v>0</v>
      </c>
      <c r="AT74" s="13"/>
      <c r="AU74" s="13"/>
      <c r="AV74" s="13"/>
      <c r="AW74" s="25">
        <f t="shared" si="7"/>
        <v>0</v>
      </c>
      <c r="AX74" s="13"/>
      <c r="AY74" s="13"/>
      <c r="AZ74" s="25"/>
      <c r="BA74" s="25">
        <f t="shared" si="8"/>
        <v>0</v>
      </c>
      <c r="BB74" s="13"/>
      <c r="BC74" s="25"/>
      <c r="BD74" s="13"/>
      <c r="BE74" s="295"/>
      <c r="BF74" s="446"/>
      <c r="BG74" s="295"/>
      <c r="BH74" s="446"/>
      <c r="BI74" s="295"/>
      <c r="BJ74" s="446"/>
      <c r="BK74" s="295"/>
      <c r="BL74" s="448"/>
      <c r="BM74" s="295"/>
      <c r="BN74" s="446"/>
      <c r="BO74" s="317">
        <f t="shared" si="11"/>
        <v>0</v>
      </c>
      <c r="BP74" s="449">
        <f>'Danh muc'!$X74</f>
        <v>0</v>
      </c>
      <c r="BQ74" s="322"/>
      <c r="BR74" s="449"/>
      <c r="BS74" s="322"/>
      <c r="BT74" s="449">
        <f>'Danh muc'!N74*0.5%</f>
        <v>0</v>
      </c>
      <c r="BU74" s="322"/>
      <c r="BV74" s="318">
        <f>' Bảng nhập công'!DE74</f>
        <v>0</v>
      </c>
      <c r="BW74" s="27"/>
      <c r="BX74" s="320">
        <f>' Bảng nhập công'!DF74</f>
        <v>0</v>
      </c>
      <c r="BY74" s="27"/>
      <c r="BZ74" s="320"/>
      <c r="CA74" s="27"/>
      <c r="CB74" s="320"/>
      <c r="CC74" s="27"/>
      <c r="CD74" s="450"/>
      <c r="CE74" s="27"/>
      <c r="CF74" s="321">
        <f t="shared" si="12"/>
        <v>0</v>
      </c>
      <c r="CG74" s="11"/>
      <c r="CH74" s="27">
        <f>'Danh muc'!$W74</f>
        <v>0</v>
      </c>
      <c r="CI74" s="280"/>
    </row>
    <row r="75" spans="1:87" s="1" customFormat="1" ht="19.5" customHeight="1">
      <c r="A75" s="12">
        <f>'Danh muc'!A75</f>
        <v>0</v>
      </c>
      <c r="B75" s="6">
        <f>'Danh muc'!B75</f>
        <v>0</v>
      </c>
      <c r="C75" s="11">
        <f>'Danh muc'!C75</f>
        <v>0</v>
      </c>
      <c r="D75" s="12">
        <f>'Danh muc'!E75</f>
        <v>0</v>
      </c>
      <c r="E75" s="13"/>
      <c r="F75" s="13"/>
      <c r="G75" s="13">
        <f>'Danh muc'!J75</f>
        <v>0</v>
      </c>
      <c r="H75" s="13"/>
      <c r="I75" s="13"/>
      <c r="J75" s="13"/>
      <c r="K75" s="13"/>
      <c r="L75" s="13"/>
      <c r="M75" s="13"/>
      <c r="N75" s="13"/>
      <c r="O75" s="13"/>
      <c r="P75" s="13"/>
      <c r="Q75" s="316">
        <f>IF((' Bảng nhập công'!$E75+' Bảng nhập công'!$F75)&gt;='Bảng tính toán'!$Q$4,'Bảng tính toán'!$Q$4,(' Bảng nhập công'!$E75+' Bảng nhập công'!$F75))</f>
        <v>0</v>
      </c>
      <c r="R75" s="25">
        <f>$Q75*'Danh muc'!$O75</f>
        <v>0</v>
      </c>
      <c r="S75" s="25">
        <f>'Danh muc'!N75</f>
        <v>0</v>
      </c>
      <c r="T75" s="22">
        <f>' Bảng nhập công'!DE75+' Bảng nhập công'!DF75</f>
        <v>0</v>
      </c>
      <c r="U75" s="25">
        <f>IF(OR(' Bảng nhập công'!DE75&gt;=3,' Bảng nhập công'!DF75&gt;=2),0,IF(OR(' Bảng nhập công'!DE75=2,' Bảng nhập công'!DF75=1),('Danh muc'!Q75/2),'Danh muc'!Q75))</f>
        <v>0</v>
      </c>
      <c r="V75" s="22"/>
      <c r="W75" s="22">
        <f t="shared" si="9"/>
        <v>0</v>
      </c>
      <c r="X75" s="316"/>
      <c r="Y75" s="22"/>
      <c r="Z75" s="22">
        <f>T75</f>
        <v>0</v>
      </c>
      <c r="AA75" s="25">
        <f t="shared" si="10"/>
        <v>0</v>
      </c>
      <c r="AB75" s="13">
        <f>'Danh muc'!S75</f>
        <v>0</v>
      </c>
      <c r="AC75" s="22">
        <f>IF(' Bảng nhập công'!E75&gt;'Bảng tính toán'!$Q$4,(' Bảng nhập công'!E75-'Bảng tính toán'!$Q$4),0)+' Bảng nhập công'!G75</f>
        <v>0</v>
      </c>
      <c r="AD75" s="229">
        <f>AC75*'Danh muc'!P75</f>
        <v>0</v>
      </c>
      <c r="AE75" s="23"/>
      <c r="AF75" s="22">
        <f>' Bảng nhập công'!$K75</f>
        <v>0</v>
      </c>
      <c r="AG75" s="229">
        <f>$AF75*'Danh muc'!$V75</f>
        <v>0</v>
      </c>
      <c r="AH75" s="23"/>
      <c r="AI75" s="23">
        <f>' Bảng nhập công'!$L75</f>
        <v>0</v>
      </c>
      <c r="AJ75" s="25">
        <f>$AI75*'Danh muc'!$U75</f>
        <v>0</v>
      </c>
      <c r="AK75" s="13"/>
      <c r="AL75" s="23">
        <f>' Bảng nhập công'!$M75</f>
        <v>0</v>
      </c>
      <c r="AM75" s="229">
        <f>$AL75*'Danh muc'!$T75</f>
        <v>0</v>
      </c>
      <c r="AN75" s="23"/>
      <c r="AO75" s="24">
        <f>' Bảng nhập công'!$DC75</f>
        <v>0</v>
      </c>
      <c r="AP75" s="230">
        <f>$AO75*'Danh muc'!$O75*8</f>
        <v>0</v>
      </c>
      <c r="AQ75" s="445"/>
      <c r="AR75" s="13">
        <f>' Bảng nhập công'!$DD75</f>
        <v>0</v>
      </c>
      <c r="AS75" s="25">
        <f>$AR75*'Danh muc'!$O75*8</f>
        <v>0</v>
      </c>
      <c r="AT75" s="13"/>
      <c r="AU75" s="13"/>
      <c r="AV75" s="13"/>
      <c r="AW75" s="25">
        <f t="shared" si="7"/>
        <v>0</v>
      </c>
      <c r="AX75" s="13"/>
      <c r="AY75" s="13"/>
      <c r="AZ75" s="25"/>
      <c r="BA75" s="25">
        <f t="shared" si="8"/>
        <v>0</v>
      </c>
      <c r="BB75" s="13"/>
      <c r="BC75" s="25"/>
      <c r="BD75" s="13"/>
      <c r="BE75" s="295"/>
      <c r="BF75" s="446"/>
      <c r="BG75" s="295"/>
      <c r="BH75" s="446"/>
      <c r="BI75" s="295"/>
      <c r="BJ75" s="446"/>
      <c r="BK75" s="295"/>
      <c r="BL75" s="448"/>
      <c r="BM75" s="295"/>
      <c r="BN75" s="446"/>
      <c r="BO75" s="317">
        <f t="shared" si="11"/>
        <v>0</v>
      </c>
      <c r="BP75" s="449">
        <f>'Danh muc'!$X75</f>
        <v>0</v>
      </c>
      <c r="BQ75" s="322"/>
      <c r="BR75" s="449"/>
      <c r="BS75" s="322"/>
      <c r="BT75" s="449">
        <f>'Danh muc'!N75*0.5%</f>
        <v>0</v>
      </c>
      <c r="BU75" s="322"/>
      <c r="BV75" s="318">
        <f>' Bảng nhập công'!DE75</f>
        <v>0</v>
      </c>
      <c r="BW75" s="27"/>
      <c r="BX75" s="320">
        <f>' Bảng nhập công'!DF75</f>
        <v>0</v>
      </c>
      <c r="BY75" s="27"/>
      <c r="BZ75" s="320"/>
      <c r="CA75" s="27"/>
      <c r="CB75" s="320"/>
      <c r="CC75" s="27"/>
      <c r="CD75" s="450"/>
      <c r="CE75" s="27"/>
      <c r="CF75" s="321">
        <f t="shared" si="12"/>
        <v>0</v>
      </c>
      <c r="CG75" s="11"/>
      <c r="CH75" s="27">
        <f>'Danh muc'!$W75</f>
        <v>0</v>
      </c>
      <c r="CI75" s="280"/>
    </row>
    <row r="76" spans="1:87" s="1" customFormat="1" ht="19.5" customHeight="1">
      <c r="A76" s="12">
        <f>'Danh muc'!A76</f>
        <v>0</v>
      </c>
      <c r="B76" s="6">
        <f>'Danh muc'!B76</f>
        <v>0</v>
      </c>
      <c r="C76" s="11">
        <f>'Danh muc'!C76</f>
        <v>0</v>
      </c>
      <c r="D76" s="12">
        <f>'Danh muc'!E76</f>
        <v>0</v>
      </c>
      <c r="E76" s="13"/>
      <c r="F76" s="13"/>
      <c r="G76" s="13">
        <f>'Danh muc'!J76</f>
        <v>0</v>
      </c>
      <c r="H76" s="13"/>
      <c r="I76" s="13"/>
      <c r="J76" s="13"/>
      <c r="K76" s="13"/>
      <c r="L76" s="13"/>
      <c r="M76" s="13"/>
      <c r="N76" s="13"/>
      <c r="O76" s="13"/>
      <c r="P76" s="13"/>
      <c r="Q76" s="316">
        <f>IF((' Bảng nhập công'!$E76+' Bảng nhập công'!$F76)&gt;='Bảng tính toán'!$Q$4,'Bảng tính toán'!$Q$4,(' Bảng nhập công'!$E76+' Bảng nhập công'!$F76))</f>
        <v>0</v>
      </c>
      <c r="R76" s="25">
        <f>$Q76*'Danh muc'!$O76</f>
        <v>0</v>
      </c>
      <c r="S76" s="25">
        <f>'Danh muc'!N76</f>
        <v>0</v>
      </c>
      <c r="T76" s="22">
        <f>' Bảng nhập công'!DE76+' Bảng nhập công'!DF76</f>
        <v>0</v>
      </c>
      <c r="U76" s="25">
        <f>IF(OR(' Bảng nhập công'!DE76&gt;=3,' Bảng nhập công'!DF76&gt;=2),0,IF(OR(' Bảng nhập công'!DE76=2,' Bảng nhập công'!DF76=1),('Danh muc'!Q76/2),'Danh muc'!Q76))</f>
        <v>0</v>
      </c>
      <c r="V76" s="22"/>
      <c r="W76" s="22">
        <f t="shared" si="9"/>
        <v>0</v>
      </c>
      <c r="X76" s="316"/>
      <c r="Y76" s="22"/>
      <c r="Z76" s="22">
        <f>T76</f>
        <v>0</v>
      </c>
      <c r="AA76" s="25">
        <f t="shared" si="10"/>
        <v>0</v>
      </c>
      <c r="AB76" s="13">
        <f>'Danh muc'!S76</f>
        <v>0</v>
      </c>
      <c r="AC76" s="22">
        <f>IF(' Bảng nhập công'!E76&gt;'Bảng tính toán'!$Q$4,(' Bảng nhập công'!E76-'Bảng tính toán'!$Q$4),0)+' Bảng nhập công'!G76</f>
        <v>0</v>
      </c>
      <c r="AD76" s="229">
        <f>AC76*'Danh muc'!P76</f>
        <v>0</v>
      </c>
      <c r="AE76" s="23"/>
      <c r="AF76" s="22">
        <f>' Bảng nhập công'!$K76</f>
        <v>0</v>
      </c>
      <c r="AG76" s="229">
        <f>$AF76*'Danh muc'!$V76</f>
        <v>0</v>
      </c>
      <c r="AH76" s="23"/>
      <c r="AI76" s="23">
        <f>' Bảng nhập công'!$L76</f>
        <v>0</v>
      </c>
      <c r="AJ76" s="25">
        <f>$AI76*'Danh muc'!$U76</f>
        <v>0</v>
      </c>
      <c r="AK76" s="13"/>
      <c r="AL76" s="23">
        <f>' Bảng nhập công'!$M76</f>
        <v>0</v>
      </c>
      <c r="AM76" s="229">
        <f>$AL76*'Danh muc'!$T76</f>
        <v>0</v>
      </c>
      <c r="AN76" s="23"/>
      <c r="AO76" s="24">
        <f>' Bảng nhập công'!$DC76</f>
        <v>0</v>
      </c>
      <c r="AP76" s="230">
        <f>$AO76*'Danh muc'!$O76*8</f>
        <v>0</v>
      </c>
      <c r="AQ76" s="445"/>
      <c r="AR76" s="13">
        <f>' Bảng nhập công'!$DD76</f>
        <v>0</v>
      </c>
      <c r="AS76" s="25">
        <f>$AR76*'Danh muc'!$O76*8</f>
        <v>0</v>
      </c>
      <c r="AT76" s="13"/>
      <c r="AU76" s="13"/>
      <c r="AV76" s="13"/>
      <c r="AW76" s="25">
        <f t="shared" si="7"/>
        <v>0</v>
      </c>
      <c r="AX76" s="13"/>
      <c r="AY76" s="13"/>
      <c r="AZ76" s="25"/>
      <c r="BA76" s="25">
        <f t="shared" si="8"/>
        <v>0</v>
      </c>
      <c r="BB76" s="13"/>
      <c r="BC76" s="25"/>
      <c r="BD76" s="13"/>
      <c r="BE76" s="295"/>
      <c r="BF76" s="446"/>
      <c r="BG76" s="295"/>
      <c r="BH76" s="446"/>
      <c r="BI76" s="295"/>
      <c r="BJ76" s="446"/>
      <c r="BK76" s="295"/>
      <c r="BL76" s="448"/>
      <c r="BM76" s="295"/>
      <c r="BN76" s="446"/>
      <c r="BO76" s="317">
        <f t="shared" si="11"/>
        <v>0</v>
      </c>
      <c r="BP76" s="449">
        <f>'Danh muc'!$X76</f>
        <v>0</v>
      </c>
      <c r="BQ76" s="322"/>
      <c r="BR76" s="449"/>
      <c r="BS76" s="322"/>
      <c r="BT76" s="449">
        <f>'Danh muc'!N76*1%</f>
        <v>0</v>
      </c>
      <c r="BU76" s="322"/>
      <c r="BV76" s="318">
        <f>' Bảng nhập công'!DE76</f>
        <v>0</v>
      </c>
      <c r="BW76" s="27"/>
      <c r="BX76" s="320">
        <f>' Bảng nhập công'!DF76</f>
        <v>0</v>
      </c>
      <c r="BY76" s="27"/>
      <c r="BZ76" s="320"/>
      <c r="CA76" s="27"/>
      <c r="CB76" s="320"/>
      <c r="CC76" s="27"/>
      <c r="CD76" s="450"/>
      <c r="CE76" s="27"/>
      <c r="CF76" s="321">
        <f t="shared" si="12"/>
        <v>0</v>
      </c>
      <c r="CG76" s="11"/>
      <c r="CH76" s="27">
        <f>'Danh muc'!$W76</f>
        <v>0</v>
      </c>
      <c r="CI76" s="280"/>
    </row>
    <row r="77" spans="1:87" s="1" customFormat="1" ht="19.5" customHeight="1">
      <c r="A77" s="12">
        <f>'Danh muc'!A77</f>
        <v>0</v>
      </c>
      <c r="B77" s="6">
        <f>'Danh muc'!B77</f>
        <v>0</v>
      </c>
      <c r="C77" s="11">
        <f>'Danh muc'!C77</f>
        <v>0</v>
      </c>
      <c r="D77" s="12">
        <f>'Danh muc'!E77</f>
        <v>0</v>
      </c>
      <c r="E77" s="13"/>
      <c r="F77" s="13"/>
      <c r="G77" s="13">
        <f>'Danh muc'!J77</f>
        <v>0</v>
      </c>
      <c r="H77" s="13"/>
      <c r="I77" s="13"/>
      <c r="J77" s="13"/>
      <c r="K77" s="13"/>
      <c r="L77" s="13"/>
      <c r="M77" s="13"/>
      <c r="N77" s="13"/>
      <c r="O77" s="13"/>
      <c r="P77" s="13"/>
      <c r="Q77" s="316">
        <f>IF((' Bảng nhập công'!$E77+' Bảng nhập công'!$F77)&gt;='Bảng tính toán'!$Q$4,'Bảng tính toán'!$Q$4,(' Bảng nhập công'!$E77+' Bảng nhập công'!$F77))</f>
        <v>0</v>
      </c>
      <c r="R77" s="25">
        <f>$Q77*'Danh muc'!$O77</f>
        <v>0</v>
      </c>
      <c r="S77" s="25">
        <f>'Danh muc'!N77</f>
        <v>0</v>
      </c>
      <c r="T77" s="22">
        <f>' Bảng nhập công'!DE77+' Bảng nhập công'!DF77</f>
        <v>0</v>
      </c>
      <c r="U77" s="25">
        <f>IF(OR(' Bảng nhập công'!DE77&gt;=3,' Bảng nhập công'!DF77&gt;=2),0,IF(OR(' Bảng nhập công'!DE77=2,' Bảng nhập công'!DF77=1),('Danh muc'!Q77/2),'Danh muc'!Q77))</f>
        <v>0</v>
      </c>
      <c r="V77" s="22"/>
      <c r="W77" s="22">
        <f t="shared" si="9"/>
        <v>0</v>
      </c>
      <c r="X77" s="316"/>
      <c r="Y77" s="22"/>
      <c r="Z77" s="22">
        <f>T77</f>
        <v>0</v>
      </c>
      <c r="AA77" s="25">
        <f t="shared" si="10"/>
        <v>0</v>
      </c>
      <c r="AB77" s="13">
        <f>'Danh muc'!S77</f>
        <v>0</v>
      </c>
      <c r="AC77" s="22">
        <f>IF(' Bảng nhập công'!E77&gt;'Bảng tính toán'!$Q$4,(' Bảng nhập công'!E77-'Bảng tính toán'!$Q$4),0)+' Bảng nhập công'!G77</f>
        <v>0</v>
      </c>
      <c r="AD77" s="229">
        <f>AC77*'Danh muc'!P77</f>
        <v>0</v>
      </c>
      <c r="AE77" s="23"/>
      <c r="AF77" s="22">
        <f>' Bảng nhập công'!$K77</f>
        <v>0</v>
      </c>
      <c r="AG77" s="229">
        <f>$AF77*'Danh muc'!$V77</f>
        <v>0</v>
      </c>
      <c r="AH77" s="23"/>
      <c r="AI77" s="23">
        <f>' Bảng nhập công'!$L77</f>
        <v>0</v>
      </c>
      <c r="AJ77" s="25">
        <f>$AI77*'Danh muc'!$U77</f>
        <v>0</v>
      </c>
      <c r="AK77" s="13"/>
      <c r="AL77" s="23">
        <f>' Bảng nhập công'!$M77</f>
        <v>0</v>
      </c>
      <c r="AM77" s="229">
        <f>$AL77*'Danh muc'!$T77</f>
        <v>0</v>
      </c>
      <c r="AN77" s="23"/>
      <c r="AO77" s="24">
        <f>' Bảng nhập công'!$DC77</f>
        <v>0</v>
      </c>
      <c r="AP77" s="230">
        <f>$AO77*'Danh muc'!$O77*8</f>
        <v>0</v>
      </c>
      <c r="AQ77" s="445"/>
      <c r="AR77" s="13">
        <f>' Bảng nhập công'!$DD77</f>
        <v>0</v>
      </c>
      <c r="AS77" s="25">
        <f>$AR77*'Danh muc'!$O77*8</f>
        <v>0</v>
      </c>
      <c r="AT77" s="13"/>
      <c r="AU77" s="13"/>
      <c r="AV77" s="13"/>
      <c r="AW77" s="25">
        <f t="shared" si="7"/>
        <v>0</v>
      </c>
      <c r="AX77" s="13"/>
      <c r="AY77" s="13"/>
      <c r="AZ77" s="25"/>
      <c r="BA77" s="25">
        <f t="shared" si="8"/>
        <v>0</v>
      </c>
      <c r="BB77" s="13"/>
      <c r="BC77" s="25"/>
      <c r="BD77" s="13"/>
      <c r="BE77" s="295"/>
      <c r="BF77" s="446"/>
      <c r="BG77" s="295"/>
      <c r="BH77" s="446"/>
      <c r="BI77" s="295"/>
      <c r="BJ77" s="446"/>
      <c r="BK77" s="295"/>
      <c r="BL77" s="448"/>
      <c r="BM77" s="295"/>
      <c r="BN77" s="446"/>
      <c r="BO77" s="317">
        <f t="shared" si="11"/>
        <v>0</v>
      </c>
      <c r="BP77" s="449">
        <f>'Danh muc'!$X77</f>
        <v>0</v>
      </c>
      <c r="BQ77" s="322"/>
      <c r="BR77" s="449"/>
      <c r="BS77" s="322"/>
      <c r="BT77" s="449">
        <f>'Danh muc'!N77*1%</f>
        <v>0</v>
      </c>
      <c r="BU77" s="322"/>
      <c r="BV77" s="318">
        <f>' Bảng nhập công'!DE77</f>
        <v>0</v>
      </c>
      <c r="BW77" s="27"/>
      <c r="BX77" s="320">
        <f>' Bảng nhập công'!DF77</f>
        <v>0</v>
      </c>
      <c r="BY77" s="27"/>
      <c r="BZ77" s="320"/>
      <c r="CA77" s="27"/>
      <c r="CB77" s="320"/>
      <c r="CC77" s="27"/>
      <c r="CD77" s="450"/>
      <c r="CE77" s="27"/>
      <c r="CF77" s="321">
        <f t="shared" si="12"/>
        <v>0</v>
      </c>
      <c r="CG77" s="11"/>
      <c r="CH77" s="27">
        <f>'Danh muc'!$W77</f>
        <v>0</v>
      </c>
      <c r="CI77" s="280"/>
    </row>
    <row r="78" spans="1:87" s="1" customFormat="1" ht="19.5" customHeight="1">
      <c r="A78" s="12">
        <f>'Danh muc'!A78</f>
        <v>0</v>
      </c>
      <c r="B78" s="6">
        <f>'Danh muc'!B78</f>
        <v>0</v>
      </c>
      <c r="C78" s="11">
        <f>'Danh muc'!C78</f>
        <v>0</v>
      </c>
      <c r="D78" s="12">
        <f>'Danh muc'!E78</f>
        <v>0</v>
      </c>
      <c r="E78" s="13"/>
      <c r="F78" s="13"/>
      <c r="G78" s="13">
        <f>'Danh muc'!J78</f>
        <v>0</v>
      </c>
      <c r="H78" s="13"/>
      <c r="I78" s="13"/>
      <c r="J78" s="13"/>
      <c r="K78" s="13"/>
      <c r="L78" s="13"/>
      <c r="M78" s="13"/>
      <c r="N78" s="13"/>
      <c r="O78" s="13"/>
      <c r="P78" s="13"/>
      <c r="Q78" s="316">
        <f>IF((' Bảng nhập công'!$E78+' Bảng nhập công'!$F78)&gt;='Bảng tính toán'!$Q$4,'Bảng tính toán'!$Q$4,(' Bảng nhập công'!$E78+' Bảng nhập công'!$F78))</f>
        <v>0</v>
      </c>
      <c r="R78" s="25">
        <f>$Q78*'Danh muc'!$O78</f>
        <v>0</v>
      </c>
      <c r="S78" s="25">
        <f>'Danh muc'!N78</f>
        <v>0</v>
      </c>
      <c r="T78" s="22">
        <f>' Bảng nhập công'!DE78+' Bảng nhập công'!DF78</f>
        <v>0</v>
      </c>
      <c r="U78" s="25">
        <f>IF(OR(' Bảng nhập công'!DE78&gt;=3,' Bảng nhập công'!DF78&gt;=2),0,IF(OR(' Bảng nhập công'!DE78=2,' Bảng nhập công'!DF78=1),('Danh muc'!Q78/2),'Danh muc'!Q78))</f>
        <v>0</v>
      </c>
      <c r="V78" s="22"/>
      <c r="W78" s="22">
        <f t="shared" si="9"/>
        <v>0</v>
      </c>
      <c r="X78" s="316"/>
      <c r="Y78" s="22"/>
      <c r="Z78" s="22">
        <f>T78</f>
        <v>0</v>
      </c>
      <c r="AA78" s="25">
        <f t="shared" si="10"/>
        <v>0</v>
      </c>
      <c r="AB78" s="13">
        <f>'Danh muc'!S78</f>
        <v>0</v>
      </c>
      <c r="AC78" s="22">
        <f>IF(' Bảng nhập công'!E78&gt;'Bảng tính toán'!$Q$4,(' Bảng nhập công'!E78-'Bảng tính toán'!$Q$4),0)+' Bảng nhập công'!G78</f>
        <v>0</v>
      </c>
      <c r="AD78" s="229">
        <f>AC78*'Danh muc'!P78</f>
        <v>0</v>
      </c>
      <c r="AE78" s="23"/>
      <c r="AF78" s="22">
        <f>' Bảng nhập công'!$K78</f>
        <v>0</v>
      </c>
      <c r="AG78" s="229">
        <f>$AF78*'Danh muc'!$V78</f>
        <v>0</v>
      </c>
      <c r="AH78" s="23"/>
      <c r="AI78" s="23">
        <f>' Bảng nhập công'!$L78</f>
        <v>0</v>
      </c>
      <c r="AJ78" s="25">
        <f>$AI78*'Danh muc'!$U78</f>
        <v>0</v>
      </c>
      <c r="AK78" s="13"/>
      <c r="AL78" s="23">
        <f>' Bảng nhập công'!$M78</f>
        <v>0</v>
      </c>
      <c r="AM78" s="229">
        <f>$AL78*'Danh muc'!$T78</f>
        <v>0</v>
      </c>
      <c r="AN78" s="23"/>
      <c r="AO78" s="24">
        <f>' Bảng nhập công'!$DC78</f>
        <v>0</v>
      </c>
      <c r="AP78" s="230">
        <f>$AO78*'Danh muc'!$O78*8</f>
        <v>0</v>
      </c>
      <c r="AQ78" s="445"/>
      <c r="AR78" s="13">
        <f>' Bảng nhập công'!$DD78</f>
        <v>0</v>
      </c>
      <c r="AS78" s="25">
        <f>$AR78*'Danh muc'!$O78*8</f>
        <v>0</v>
      </c>
      <c r="AT78" s="13"/>
      <c r="AU78" s="13"/>
      <c r="AV78" s="13"/>
      <c r="AW78" s="25">
        <f t="shared" si="7"/>
        <v>0</v>
      </c>
      <c r="AX78" s="13"/>
      <c r="AY78" s="13"/>
      <c r="AZ78" s="25"/>
      <c r="BA78" s="25">
        <f t="shared" si="8"/>
        <v>0</v>
      </c>
      <c r="BB78" s="13"/>
      <c r="BC78" s="25"/>
      <c r="BD78" s="13"/>
      <c r="BE78" s="295"/>
      <c r="BF78" s="446"/>
      <c r="BG78" s="295"/>
      <c r="BH78" s="446"/>
      <c r="BI78" s="295"/>
      <c r="BJ78" s="446"/>
      <c r="BK78" s="295"/>
      <c r="BL78" s="448"/>
      <c r="BM78" s="295"/>
      <c r="BN78" s="446"/>
      <c r="BO78" s="317">
        <f t="shared" si="11"/>
        <v>0</v>
      </c>
      <c r="BP78" s="449">
        <f>'Danh muc'!$X78</f>
        <v>0</v>
      </c>
      <c r="BQ78" s="322"/>
      <c r="BR78" s="449"/>
      <c r="BS78" s="322"/>
      <c r="BT78" s="449">
        <f>'Danh muc'!N78*1%</f>
        <v>0</v>
      </c>
      <c r="BU78" s="322"/>
      <c r="BV78" s="318">
        <f>' Bảng nhập công'!DE78</f>
        <v>0</v>
      </c>
      <c r="BW78" s="27"/>
      <c r="BX78" s="320">
        <f>' Bảng nhập công'!DF78</f>
        <v>0</v>
      </c>
      <c r="BY78" s="27"/>
      <c r="BZ78" s="320"/>
      <c r="CA78" s="27"/>
      <c r="CB78" s="320"/>
      <c r="CC78" s="27"/>
      <c r="CD78" s="450"/>
      <c r="CE78" s="27"/>
      <c r="CF78" s="321">
        <f t="shared" si="12"/>
        <v>0</v>
      </c>
      <c r="CG78" s="11"/>
      <c r="CH78" s="27">
        <f>'Danh muc'!$W78</f>
        <v>0</v>
      </c>
      <c r="CI78" s="280"/>
    </row>
  </sheetData>
  <protectedRanges>
    <protectedRange password="CF7A" sqref="BL14 AS10:BB78 BC67:BF69 BC10:BD52 BC55:BD66 BG50 BE57:BF59 BE49:BF49 BE47:BE48 BE65:BF66 BE60 BG10:BH49 BG51:BH59 BE51:BF51 BE50 BE52:BE56 BE61:BH63 BG60 BG65:BH69 BH64 BI55:BN69 BI10:BN13 BI15:BN52 BC70:BN78 BO10:BO78 BE10:BF46 AS8:BO9 AJ8:AK78 AO8:AO78 R8:AB78" name="vung nhap" securityDescriptor="O:WDG:WDD:(A;;CC;;;WD)"/>
    <protectedRange password="CF7A" sqref="BC53:BD54 BI53:BN54" name="vung nhap_2" securityDescriptor="O:WDG:WDD:(A;;CC;;;WD)"/>
    <protectedRange password="CF7A" sqref="BH50" name="vung nhap_2_2" securityDescriptor="O:WDG:WDD:(A;;CC;;;WD)"/>
    <protectedRange password="CF7A" sqref="BF47 BF60 BF54:BF56 BE64" name="vung nhap_2_2_1_1" securityDescriptor="O:WDG:WDD:(A;;CC;;;WD)"/>
    <protectedRange password="CF7A" sqref="BF48 BH60 BF52:BF53 BF64:BG64 BF50" name="vung nhap_2_2_1_2" securityDescriptor="O:WDG:WDD:(A;;CC;;;WD)"/>
  </protectedRanges>
  <autoFilter ref="CF7:CH78" xr:uid="{00000000-0009-0000-0000-000004000000}"/>
  <pageMargins left="0" right="0" top="0" bottom="0" header="0.31496062992126" footer="0.31496062992126"/>
  <pageSetup paperSize="11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Trang_tính1" filterMode="1"/>
  <dimension ref="A1:F89"/>
  <sheetViews>
    <sheetView topLeftCell="A54" workbookViewId="0">
      <selection activeCell="D20" sqref="D20"/>
    </sheetView>
  </sheetViews>
  <sheetFormatPr defaultRowHeight="15"/>
  <cols>
    <col min="1" max="1" width="7.140625" customWidth="1"/>
    <col min="2" max="2" width="15" customWidth="1"/>
    <col min="3" max="3" width="33.7109375" customWidth="1"/>
    <col min="4" max="4" width="29.28515625" customWidth="1"/>
    <col min="5" max="5" width="23.42578125" customWidth="1"/>
    <col min="6" max="6" width="20.7109375" hidden="1" customWidth="1"/>
  </cols>
  <sheetData>
    <row r="1" spans="1:6" hidden="1"/>
    <row r="2" spans="1:6" hidden="1"/>
    <row r="3" spans="1:6" s="178" customFormat="1" ht="27">
      <c r="A3" s="499" t="s">
        <v>206</v>
      </c>
      <c r="B3" s="499"/>
      <c r="C3" s="499"/>
      <c r="D3" s="499"/>
      <c r="E3" s="499"/>
      <c r="F3" s="499"/>
    </row>
    <row r="4" spans="1:6" s="178" customFormat="1" ht="22.5" customHeight="1">
      <c r="A4" s="500" t="s">
        <v>312</v>
      </c>
      <c r="B4" s="500"/>
      <c r="C4" s="500"/>
      <c r="D4" s="500"/>
      <c r="E4" s="500"/>
      <c r="F4" s="500"/>
    </row>
    <row r="5" spans="1:6" s="178" customFormat="1" ht="22.5" customHeight="1">
      <c r="A5" s="501" t="s">
        <v>207</v>
      </c>
      <c r="B5" s="501"/>
      <c r="C5" s="501"/>
      <c r="D5" s="501"/>
      <c r="E5" s="501"/>
      <c r="F5" s="501"/>
    </row>
    <row r="6" spans="1:6" s="178" customFormat="1" ht="27" customHeight="1">
      <c r="A6" s="502" t="s">
        <v>208</v>
      </c>
      <c r="B6" s="504" t="s">
        <v>209</v>
      </c>
      <c r="C6" s="505" t="s">
        <v>210</v>
      </c>
      <c r="D6" s="504" t="s">
        <v>211</v>
      </c>
      <c r="E6" s="507" t="s">
        <v>212</v>
      </c>
      <c r="F6" s="509" t="s">
        <v>227</v>
      </c>
    </row>
    <row r="7" spans="1:6" s="178" customFormat="1" ht="27" customHeight="1">
      <c r="A7" s="503"/>
      <c r="B7" s="502"/>
      <c r="C7" s="506"/>
      <c r="D7" s="502"/>
      <c r="E7" s="508"/>
      <c r="F7" s="510"/>
    </row>
    <row r="8" spans="1:6" s="182" customFormat="1" ht="35.25" customHeight="1">
      <c r="A8" s="179">
        <v>1</v>
      </c>
      <c r="B8" s="180">
        <f>IF('Danh muc'!F8="tiền mặt","",'Danh muc'!B8)</f>
        <v>15110600</v>
      </c>
      <c r="C8" s="180" t="str">
        <f>IF('Danh muc'!F8="tiền mặt","",'Danh muc'!C8)</f>
        <v>Nguyễn Được Thưởng</v>
      </c>
      <c r="D8" s="146" t="str">
        <f>IF('Danh muc'!F8="tiền mặt","",'Danh muc'!F8)</f>
        <v>3845 966 223</v>
      </c>
      <c r="E8" s="231">
        <f>IF('Danh muc'!F8="tiền mặt",0,'Bảng tính toán'!CF8)</f>
        <v>6349000</v>
      </c>
      <c r="F8" s="181">
        <f>IF('Danh muc'!F8="tiền mặt","",('Danh muc'!W8+'Danh muc'!X8))</f>
        <v>4160000</v>
      </c>
    </row>
    <row r="9" spans="1:6" s="182" customFormat="1" ht="35.25" customHeight="1">
      <c r="A9" s="179">
        <v>2</v>
      </c>
      <c r="B9" s="180">
        <f>IF('Danh muc'!F9="tiền mặt","",'Danh muc'!B9)</f>
        <v>20122900</v>
      </c>
      <c r="C9" s="180" t="str">
        <f>IF('Danh muc'!F9="tiền mặt","",'Danh muc'!C9)</f>
        <v>Nguyễn Thị Liến</v>
      </c>
      <c r="D9" s="146" t="str">
        <f>IF('Danh muc'!F9="tiền mặt","",'Danh muc'!F9)</f>
        <v>7965 354 745</v>
      </c>
      <c r="E9" s="231">
        <f>IF('Danh muc'!F9="tiền mặt",0,'Bảng tính toán'!CF9)</f>
        <v>2282000</v>
      </c>
      <c r="F9" s="181">
        <f>IF('Danh muc'!F9="tiền mặt","",('Danh muc'!W9+'Danh muc'!X9))</f>
        <v>2720000</v>
      </c>
    </row>
    <row r="10" spans="1:6" s="182" customFormat="1" ht="35.25" customHeight="1">
      <c r="A10" s="179">
        <v>3</v>
      </c>
      <c r="B10" s="180">
        <f>IF('Danh muc'!F10="tiền mặt","",'Danh muc'!B10)</f>
        <v>20020700</v>
      </c>
      <c r="C10" s="180" t="str">
        <f>IF('Danh muc'!F10="tiền mặt","",'Danh muc'!C10)</f>
        <v>Phan Hiệp Thành Danh</v>
      </c>
      <c r="D10" s="146" t="str">
        <f>IF('Danh muc'!F10="tiền mặt","",'Danh muc'!F10)</f>
        <v>0181 002 843 297</v>
      </c>
      <c r="E10" s="231">
        <f>IF('Danh muc'!F10="tiền mặt",0,'Bảng tính toán'!CF10)</f>
        <v>1975000</v>
      </c>
      <c r="F10" s="181">
        <f>IF('Danh muc'!F10="tiền mặt","",('Danh muc'!W10+'Danh muc'!X10))</f>
        <v>2720000</v>
      </c>
    </row>
    <row r="11" spans="1:6" s="182" customFormat="1" ht="35.25" customHeight="1">
      <c r="A11" s="179">
        <v>4</v>
      </c>
      <c r="B11" s="180">
        <f>IF('Danh muc'!F11="tiền mặt","",'Danh muc'!B11)</f>
        <v>19010300</v>
      </c>
      <c r="C11" s="180" t="str">
        <f>IF('Danh muc'!F11="tiền mặt","",'Danh muc'!C11)</f>
        <v>Phan Thành Triệu</v>
      </c>
      <c r="D11" s="146" t="str">
        <f>IF('Danh muc'!F11="tiền mặt","",'Danh muc'!F11)</f>
        <v>1016 260 227</v>
      </c>
      <c r="E11" s="231">
        <f>IF('Danh muc'!F11="tiền mặt",0,'Bảng tính toán'!CF11)</f>
        <v>2282000</v>
      </c>
      <c r="F11" s="181">
        <f>IF('Danh muc'!F11="tiền mặt","",('Danh muc'!W11+'Danh muc'!X11))</f>
        <v>2720000</v>
      </c>
    </row>
    <row r="12" spans="1:6" s="182" customFormat="1" ht="35.25" customHeight="1">
      <c r="A12" s="179">
        <v>5</v>
      </c>
      <c r="B12" s="180">
        <f>IF('Danh muc'!F12="tiền mặt","",'Danh muc'!B12)</f>
        <v>18010900</v>
      </c>
      <c r="C12" s="180" t="str">
        <f>IF('Danh muc'!F12="tiền mặt","",'Danh muc'!C12)</f>
        <v>Lê Đức Trọng</v>
      </c>
      <c r="D12" s="146" t="str">
        <f>IF('Danh muc'!F12="tiền mặt","",'Danh muc'!F12)</f>
        <v>3397 286 876</v>
      </c>
      <c r="E12" s="231">
        <f>IF('Danh muc'!F12="tiền mặt",0,'Bảng tính toán'!CF12)</f>
        <v>3330000</v>
      </c>
      <c r="F12" s="181">
        <f>IF('Danh muc'!F12="tiền mặt","",('Danh muc'!W12+'Danh muc'!X12))</f>
        <v>3200000</v>
      </c>
    </row>
    <row r="13" spans="1:6" s="182" customFormat="1" ht="35.25" customHeight="1">
      <c r="A13" s="179">
        <v>6</v>
      </c>
      <c r="B13" s="180">
        <f>IF('Danh muc'!F13="tiền mặt","",'Danh muc'!B13)</f>
        <v>19010400</v>
      </c>
      <c r="C13" s="180" t="str">
        <f>IF('Danh muc'!F13="tiền mặt","",'Danh muc'!C13)</f>
        <v>Võ Duy Thanh</v>
      </c>
      <c r="D13" s="146" t="str">
        <f>IF('Danh muc'!F13="tiền mặt","",'Danh muc'!F13)</f>
        <v>1015 955 827</v>
      </c>
      <c r="E13" s="231">
        <f>IF('Danh muc'!F13="tiền mặt",0,'Bảng tính toán'!CF13)</f>
        <v>2282000</v>
      </c>
      <c r="F13" s="181">
        <f>IF('Danh muc'!F13="tiền mặt","",('Danh muc'!W13+'Danh muc'!X13))</f>
        <v>2720000</v>
      </c>
    </row>
    <row r="14" spans="1:6" s="182" customFormat="1" ht="35.25" customHeight="1">
      <c r="A14" s="179">
        <v>7</v>
      </c>
      <c r="B14" s="180">
        <f>IF('Danh muc'!F14="tiền mặt","",'Danh muc'!B14)</f>
        <v>17030500</v>
      </c>
      <c r="C14" s="180" t="str">
        <f>IF('Danh muc'!F14="tiền mặt","",'Danh muc'!C14)</f>
        <v>Lê Thành Trung</v>
      </c>
      <c r="D14" s="146" t="str">
        <f>IF('Danh muc'!F14="tiền mặt","",'Danh muc'!F14)</f>
        <v>7902 685 401</v>
      </c>
      <c r="E14" s="231">
        <f>IF('Danh muc'!F14="tiền mặt",0,'Bảng tính toán'!CF14)</f>
        <v>3472000</v>
      </c>
      <c r="F14" s="181">
        <f>IF('Danh muc'!F14="tiền mặt","",('Danh muc'!W14+'Danh muc'!X14))</f>
        <v>2560000</v>
      </c>
    </row>
    <row r="15" spans="1:6" s="182" customFormat="1" ht="35.25" customHeight="1">
      <c r="A15" s="179">
        <v>8</v>
      </c>
      <c r="B15" s="180">
        <f>IF('Danh muc'!F15="tiền mặt","",'Danh muc'!B15)</f>
        <v>22042200</v>
      </c>
      <c r="C15" s="180" t="str">
        <f>IF('Danh muc'!F15="tiền mặt","",'Danh muc'!C15)</f>
        <v>Nguyễn Tấn Nghĩa</v>
      </c>
      <c r="D15" s="146" t="str">
        <f>IF('Danh muc'!F15="tiền mặt","",'Danh muc'!F15)</f>
        <v>1906 627 655</v>
      </c>
      <c r="E15" s="231">
        <f>IF('Danh muc'!F15="tiền mặt",0,'Bảng tính toán'!CF15)</f>
        <v>2696000</v>
      </c>
      <c r="F15" s="181">
        <f>IF('Danh muc'!F15="tiền mặt","",('Danh muc'!W15+'Danh muc'!X15))</f>
        <v>2240000</v>
      </c>
    </row>
    <row r="16" spans="1:6" s="182" customFormat="1" ht="35.25" customHeight="1">
      <c r="A16" s="179">
        <v>9</v>
      </c>
      <c r="B16" s="180">
        <f>IF('Danh muc'!F16="tiền mặt","",'Danh muc'!B16)</f>
        <v>20102800</v>
      </c>
      <c r="C16" s="180" t="str">
        <f>IF('Danh muc'!F16="tiền mặt","",'Danh muc'!C16)</f>
        <v>Nguyễn Thùy Trang</v>
      </c>
      <c r="D16" s="146" t="str">
        <f>IF('Danh muc'!F16="tiền mặt","",'Danh muc'!F16)</f>
        <v>3938 241 349</v>
      </c>
      <c r="E16" s="231">
        <f>IF('Danh muc'!F16="tiền mặt",0,'Bảng tính toán'!CF16)</f>
        <v>1519000</v>
      </c>
      <c r="F16" s="181">
        <f>IF('Danh muc'!F16="tiền mặt","",('Danh muc'!W16+'Danh muc'!X16))</f>
        <v>3040000</v>
      </c>
    </row>
    <row r="17" spans="1:6" s="182" customFormat="1" ht="35.25" customHeight="1">
      <c r="A17" s="179">
        <v>10</v>
      </c>
      <c r="B17" s="180">
        <f>IF('Danh muc'!F17="tiền mặt","",'Danh muc'!B17)</f>
        <v>17031400</v>
      </c>
      <c r="C17" s="180" t="str">
        <f>IF('Danh muc'!F17="tiền mặt","",'Danh muc'!C17)</f>
        <v>Huỳnh Văn Thanh</v>
      </c>
      <c r="D17" s="146" t="str">
        <f>IF('Danh muc'!F17="tiền mặt","",'Danh muc'!F17)</f>
        <v>9932 473 273</v>
      </c>
      <c r="E17" s="231">
        <f>IF('Danh muc'!F17="tiền mặt",0,'Bảng tính toán'!CF17)</f>
        <v>2052000</v>
      </c>
      <c r="F17" s="181">
        <f>IF('Danh muc'!F17="tiền mặt","",('Danh muc'!W17+'Danh muc'!X17))</f>
        <v>2720000</v>
      </c>
    </row>
    <row r="18" spans="1:6" s="182" customFormat="1" ht="35.25" customHeight="1">
      <c r="A18" s="179">
        <v>11</v>
      </c>
      <c r="B18" s="180">
        <f>IF('Danh muc'!F18="tiền mặt","",'Danh muc'!B18)</f>
        <v>20050400</v>
      </c>
      <c r="C18" s="180" t="str">
        <f>IF('Danh muc'!F18="tiền mặt","",'Danh muc'!C18)</f>
        <v>Trần Phi Long</v>
      </c>
      <c r="D18" s="146" t="str">
        <f>IF('Danh muc'!F18="tiền mặt","",'Danh muc'!F18)</f>
        <v>7963 672 389</v>
      </c>
      <c r="E18" s="231">
        <f>IF('Danh muc'!F18="tiền mặt",0,'Bảng tính toán'!CF18)</f>
        <v>809000</v>
      </c>
      <c r="F18" s="181">
        <f>IF('Danh muc'!F18="tiền mặt","",('Danh muc'!W18+'Danh muc'!X18))</f>
        <v>2400000</v>
      </c>
    </row>
    <row r="19" spans="1:6" s="182" customFormat="1" ht="35.25" customHeight="1">
      <c r="A19" s="179">
        <v>12</v>
      </c>
      <c r="B19" s="180">
        <f>IF('Danh muc'!F19="tiền mặt","",'Danh muc'!B19)</f>
        <v>24050201</v>
      </c>
      <c r="C19" s="180" t="str">
        <f>IF('Danh muc'!F19="tiền mặt","",'Danh muc'!C19)</f>
        <v>Nguyễn Hữu Huynh</v>
      </c>
      <c r="D19" s="146" t="str">
        <f>IF('Danh muc'!F19="tiền mặt","",'Danh muc'!F19)</f>
        <v>104 980 9976</v>
      </c>
      <c r="E19" s="231">
        <f>IF('Danh muc'!F19="tiền mặt",0,'Bảng tính toán'!CF19)</f>
        <v>1147000</v>
      </c>
      <c r="F19" s="181">
        <f>IF('Danh muc'!F19="tiền mặt","",('Danh muc'!W19+'Danh muc'!X19))</f>
        <v>1920000</v>
      </c>
    </row>
    <row r="20" spans="1:6" s="182" customFormat="1" ht="35.25" customHeight="1">
      <c r="A20" s="179">
        <v>13</v>
      </c>
      <c r="B20" s="180">
        <f>IF('Danh muc'!F20="tiền mặt","",'Danh muc'!B20)</f>
        <v>16120600</v>
      </c>
      <c r="C20" s="180" t="str">
        <f>IF('Danh muc'!F20="tiền mặt","",'Danh muc'!C20)</f>
        <v>Nguyễn Văn Nhường</v>
      </c>
      <c r="D20" s="146" t="str">
        <f>IF('Danh muc'!F20="tiền mặt","",'Danh muc'!F20)</f>
        <v>7794 343 380</v>
      </c>
      <c r="E20" s="231">
        <f>IF('Danh muc'!F20="tiền mặt",0,'Bảng tính toán'!CF20)</f>
        <v>1399000</v>
      </c>
      <c r="F20" s="181">
        <f>IF('Danh muc'!F20="tiền mặt","",('Danh muc'!W20+'Danh muc'!X20))</f>
        <v>1824000</v>
      </c>
    </row>
    <row r="21" spans="1:6" s="236" customFormat="1" ht="35.25" customHeight="1">
      <c r="A21" s="179">
        <v>14</v>
      </c>
      <c r="B21" s="180">
        <f>IF('Danh muc'!F21="tiền mặt","",'Danh muc'!B21)</f>
        <v>24021900</v>
      </c>
      <c r="C21" s="180" t="str">
        <f>IF('Danh muc'!F21="tiền mặt","",'Danh muc'!C21)</f>
        <v>Nguyễn Bảo Toàn</v>
      </c>
      <c r="D21" s="291" t="str">
        <f>IF('Danh muc'!F21="tiền mặt","",'Danh muc'!F21)</f>
        <v>104 980 3572</v>
      </c>
      <c r="E21" s="292">
        <f>IF('Danh muc'!F21="tiền mặt",0,'Bảng tính toán'!CF21)</f>
        <v>1532000</v>
      </c>
      <c r="F21" s="293">
        <f>IF('Danh muc'!F21="tiền mặt","",('Danh muc'!W21+'Danh muc'!X21))</f>
        <v>1920000</v>
      </c>
    </row>
    <row r="22" spans="1:6" s="182" customFormat="1" ht="35.25" customHeight="1">
      <c r="A22" s="179">
        <v>15</v>
      </c>
      <c r="B22" s="180">
        <f>IF('Danh muc'!F22="tiền mặt","",'Danh muc'!B22)</f>
        <v>22022200</v>
      </c>
      <c r="C22" s="180" t="str">
        <f>IF('Danh muc'!F22="tiền mặt","",'Danh muc'!C22)</f>
        <v>Võ Minh Hiếu</v>
      </c>
      <c r="D22" s="146" t="str">
        <f>IF('Danh muc'!F22="tiền mặt","",'Danh muc'!F22)</f>
        <v>0281 000 374 375</v>
      </c>
      <c r="E22" s="231">
        <f>IF('Danh muc'!F22="tiền mặt",0,'Bảng tính toán'!CF22)</f>
        <v>1113000</v>
      </c>
      <c r="F22" s="181">
        <f>IF('Danh muc'!F22="tiền mặt","",('Danh muc'!W22+'Danh muc'!X22))</f>
        <v>1952000</v>
      </c>
    </row>
    <row r="23" spans="1:6" s="182" customFormat="1" ht="35.25" customHeight="1">
      <c r="A23" s="179">
        <v>16</v>
      </c>
      <c r="B23" s="180">
        <f>IF('Danh muc'!F23="tiền mặt","",'Danh muc'!B23)</f>
        <v>24111800</v>
      </c>
      <c r="C23" s="180" t="str">
        <f>IF('Danh muc'!F23="tiền mặt","",'Danh muc'!C23)</f>
        <v>Hồ Ngọc Quế Trinh</v>
      </c>
      <c r="D23" s="146" t="str">
        <f>IF('Danh muc'!F23="tiền mặt","",'Danh muc'!F23)</f>
        <v>000 105 764 1822</v>
      </c>
      <c r="E23" s="231">
        <f>IF('Danh muc'!F23="tiền mặt",0,'Bảng tính toán'!CF23)</f>
        <v>916000</v>
      </c>
      <c r="F23" s="181">
        <f>IF('Danh muc'!F23="tiền mặt","",('Danh muc'!W23+'Danh muc'!X23))</f>
        <v>1920000</v>
      </c>
    </row>
    <row r="24" spans="1:6" s="182" customFormat="1" ht="35.25" customHeight="1">
      <c r="A24" s="179">
        <v>17</v>
      </c>
      <c r="B24" s="180">
        <f>IF('Danh muc'!F24="tiền mặt","",'Danh muc'!B24)</f>
        <v>24030400</v>
      </c>
      <c r="C24" s="180" t="str">
        <f>IF('Danh muc'!F24="tiền mặt","",'Danh muc'!C24)</f>
        <v>Ngô Dương Thùy Trang</v>
      </c>
      <c r="D24" s="146" t="str">
        <f>IF('Danh muc'!F24="tiền mặt","",'Danh muc'!F24)</f>
        <v>0511 000 468 377</v>
      </c>
      <c r="E24" s="231">
        <f>IF('Danh muc'!F24="tiền mặt",0,'Bảng tính toán'!CF24)</f>
        <v>441000</v>
      </c>
      <c r="F24" s="181">
        <f>IF('Danh muc'!F24="tiền mặt","",('Danh muc'!W24+'Danh muc'!X24))</f>
        <v>1984000</v>
      </c>
    </row>
    <row r="25" spans="1:6" s="182" customFormat="1" ht="35.25" customHeight="1">
      <c r="A25" s="179">
        <v>18</v>
      </c>
      <c r="B25" s="180">
        <f>IF('Danh muc'!F25="tiền mặt","",'Danh muc'!B25)</f>
        <v>21120700</v>
      </c>
      <c r="C25" s="180" t="str">
        <f>IF('Danh muc'!F25="tiền mặt","",'Danh muc'!C25)</f>
        <v>Phan Thị Ngọc Hân</v>
      </c>
      <c r="D25" s="146" t="str">
        <f>IF('Danh muc'!F25="tiền mặt","",'Danh muc'!F25)</f>
        <v>3328 047 901</v>
      </c>
      <c r="E25" s="231">
        <f>IF('Danh muc'!F25="tiền mặt",0,'Bảng tính toán'!CF25)</f>
        <v>710000</v>
      </c>
      <c r="F25" s="181">
        <f>IF('Danh muc'!F25="tiền mặt","",('Danh muc'!W25+'Danh muc'!X25))</f>
        <v>1984000</v>
      </c>
    </row>
    <row r="26" spans="1:6" s="182" customFormat="1" ht="35.25" customHeight="1">
      <c r="A26" s="179">
        <v>19</v>
      </c>
      <c r="B26" s="180">
        <f>IF('Danh muc'!F26="tiền mặt","",'Danh muc'!B26)</f>
        <v>20040800</v>
      </c>
      <c r="C26" s="180" t="str">
        <f>IF('Danh muc'!F26="tiền mặt","",'Danh muc'!C26)</f>
        <v>Nguyễn Thị Huế Trân</v>
      </c>
      <c r="D26" s="146" t="str">
        <f>IF('Danh muc'!F26="tiền mặt","",'Danh muc'!F26)</f>
        <v>3356 952 051</v>
      </c>
      <c r="E26" s="231">
        <f>IF('Danh muc'!F26="tiền mặt",0,'Bảng tính toán'!CF26)</f>
        <v>573000</v>
      </c>
      <c r="F26" s="181">
        <f>IF('Danh muc'!F26="tiền mặt","",('Danh muc'!W26+'Danh muc'!X26))</f>
        <v>2080000</v>
      </c>
    </row>
    <row r="27" spans="1:6" s="236" customFormat="1" ht="35.25" customHeight="1">
      <c r="A27" s="297">
        <v>20</v>
      </c>
      <c r="B27" s="180">
        <f>IF('Danh muc'!F27="tiền mặt","",'Danh muc'!B27)</f>
        <v>19010800</v>
      </c>
      <c r="C27" s="180" t="str">
        <f>IF('Danh muc'!F27="tiền mặt","",'Danh muc'!C27)</f>
        <v>Nguyễn Thị Bé Năm</v>
      </c>
      <c r="D27" s="291" t="str">
        <f>IF('Danh muc'!F27="tiền mặt","",'Danh muc'!F27)</f>
        <v>7814 103 927</v>
      </c>
      <c r="E27" s="292">
        <f>IF('Danh muc'!F27="tiền mặt",0,'Bảng tính toán'!CF27)</f>
        <v>496000</v>
      </c>
      <c r="F27" s="293">
        <f>IF('Danh muc'!F27="tiền mặt","",('Danh muc'!W27+'Danh muc'!X27))</f>
        <v>2080000</v>
      </c>
    </row>
    <row r="28" spans="1:6" s="182" customFormat="1" ht="35.25" customHeight="1">
      <c r="A28" s="179">
        <v>21</v>
      </c>
      <c r="B28" s="180">
        <f>IF('Danh muc'!F28="tiền mặt","",'Danh muc'!B28)</f>
        <v>19020100</v>
      </c>
      <c r="C28" s="180" t="str">
        <f>IF('Danh muc'!F28="tiền mặt","",'Danh muc'!C28)</f>
        <v>Nguyễn Thị Sang</v>
      </c>
      <c r="D28" s="146" t="str">
        <f>IF('Danh muc'!F28="tiền mặt","",'Danh muc'!F28)</f>
        <v>7763 753 137</v>
      </c>
      <c r="E28" s="231">
        <f>IF('Danh muc'!F28="tiền mặt",0,'Bảng tính toán'!CF28)</f>
        <v>496000</v>
      </c>
      <c r="F28" s="181">
        <f>IF('Danh muc'!F28="tiền mặt","",('Danh muc'!W28+'Danh muc'!X28))</f>
        <v>2080000</v>
      </c>
    </row>
    <row r="29" spans="1:6" s="182" customFormat="1" ht="35.25" customHeight="1">
      <c r="A29" s="179">
        <v>22</v>
      </c>
      <c r="B29" s="180">
        <f>IF('Danh muc'!F29="tiền mặt","",'Danh muc'!B29)</f>
        <v>22011800</v>
      </c>
      <c r="C29" s="180" t="str">
        <f>IF('Danh muc'!F29="tiền mặt","",'Danh muc'!C29)</f>
        <v>Lê Thị Kim Chi</v>
      </c>
      <c r="D29" s="146" t="str">
        <f>IF('Danh muc'!F29="tiền mặt","",'Danh muc'!F29)</f>
        <v>0501 000 191 835</v>
      </c>
      <c r="E29" s="231">
        <f>IF('Danh muc'!F29="tiền mặt",0,'Bảng tính toán'!CF29)</f>
        <v>486000</v>
      </c>
      <c r="F29" s="181">
        <f>IF('Danh muc'!F29="tiền mặt","",('Danh muc'!W29+'Danh muc'!X29))</f>
        <v>1952000</v>
      </c>
    </row>
    <row r="30" spans="1:6" s="182" customFormat="1" ht="35.25" customHeight="1">
      <c r="A30" s="179">
        <v>23</v>
      </c>
      <c r="B30" s="180">
        <f>IF('Danh muc'!F30="tiền mặt","",'Danh muc'!B30)</f>
        <v>22050900</v>
      </c>
      <c r="C30" s="180" t="str">
        <f>IF('Danh muc'!F30="tiền mặt","",'Danh muc'!C30)</f>
        <v>Nguyễn Thị Diễm Mi</v>
      </c>
      <c r="D30" s="146" t="str">
        <f>IF('Danh muc'!F30="tiền mặt","",'Danh muc'!F30)</f>
        <v>7979 845 048</v>
      </c>
      <c r="E30" s="231">
        <f>IF('Danh muc'!F30="tiền mặt",0,'Bảng tính toán'!CF30)</f>
        <v>340000</v>
      </c>
      <c r="F30" s="181">
        <f>IF('Danh muc'!F30="tiền mặt","",('Danh muc'!W30+'Danh muc'!X30))</f>
        <v>1920000</v>
      </c>
    </row>
    <row r="31" spans="1:6" s="182" customFormat="1" ht="35.25" customHeight="1">
      <c r="A31" s="179">
        <v>24</v>
      </c>
      <c r="B31" s="180">
        <f>IF('Danh muc'!F31="tiền mặt","",'Danh muc'!B31)</f>
        <v>22111800</v>
      </c>
      <c r="C31" s="180" t="str">
        <f>IF('Danh muc'!F31="tiền mặt","",'Danh muc'!C31)</f>
        <v>Lê Thị Kim Thoa</v>
      </c>
      <c r="D31" s="146" t="str">
        <f>IF('Danh muc'!F31="tiền mặt","",'Danh muc'!F31)</f>
        <v>1932 421 405</v>
      </c>
      <c r="E31" s="231">
        <f>IF('Danh muc'!F31="tiền mặt",0,'Bảng tính toán'!CF31)</f>
        <v>263000</v>
      </c>
      <c r="F31" s="181">
        <f>IF('Danh muc'!F31="tiền mặt","",('Danh muc'!W31+'Danh muc'!X31))</f>
        <v>1920000</v>
      </c>
    </row>
    <row r="32" spans="1:6" s="182" customFormat="1" ht="35.25" customHeight="1">
      <c r="A32" s="179">
        <v>25</v>
      </c>
      <c r="B32" s="180">
        <f>IF('Danh muc'!F32="tiền mặt","",'Danh muc'!B32)</f>
        <v>24100100</v>
      </c>
      <c r="C32" s="180" t="str">
        <f>IF('Danh muc'!F32="tiền mặt","",'Danh muc'!C32)</f>
        <v>Hồ Thị Du</v>
      </c>
      <c r="D32" s="146" t="str">
        <f>IF('Danh muc'!F32="tiền mặt","",'Danh muc'!F32)</f>
        <v>000 105 764 0113</v>
      </c>
      <c r="E32" s="231">
        <f>IF('Danh muc'!F32="tiền mặt",0,'Bảng tính toán'!CF32)</f>
        <v>169000</v>
      </c>
      <c r="F32" s="181">
        <f>IF('Danh muc'!F32="tiền mặt","",('Danh muc'!W32+'Danh muc'!X32))</f>
        <v>1824000</v>
      </c>
    </row>
    <row r="33" spans="1:6" s="182" customFormat="1" ht="35.25" customHeight="1">
      <c r="A33" s="179">
        <v>26</v>
      </c>
      <c r="B33" s="180">
        <f>IF('Danh muc'!F33="tiền mặt","",'Danh muc'!B33)</f>
        <v>22050901</v>
      </c>
      <c r="C33" s="180" t="str">
        <f>IF('Danh muc'!F33="tiền mặt","",'Danh muc'!C33)</f>
        <v>Phạm Thị Kim Huệ</v>
      </c>
      <c r="D33" s="146" t="str">
        <f>IF('Danh muc'!F33="tiền mặt","",'Danh muc'!F33)</f>
        <v>104 980 2256</v>
      </c>
      <c r="E33" s="231">
        <f>IF('Danh muc'!F33="tiền mặt",0,'Bảng tính toán'!CF33)</f>
        <v>361000</v>
      </c>
      <c r="F33" s="181">
        <f>IF('Danh muc'!F33="tiền mặt","",('Danh muc'!W33+'Danh muc'!X33))</f>
        <v>1824000</v>
      </c>
    </row>
    <row r="34" spans="1:6" s="182" customFormat="1" ht="35.25" customHeight="1">
      <c r="A34" s="179">
        <v>27</v>
      </c>
      <c r="B34" s="180">
        <f>IF('Danh muc'!F34="tiền mặt","",'Danh muc'!B34)</f>
        <v>22060900</v>
      </c>
      <c r="C34" s="180" t="str">
        <f>IF('Danh muc'!F34="tiền mặt","",'Danh muc'!C34)</f>
        <v>Đoàn Hữu Duy Linh</v>
      </c>
      <c r="D34" s="146" t="str">
        <f>IF('Danh muc'!F34="tiền mặt","",'Danh muc'!F34)</f>
        <v>3395 178 549</v>
      </c>
      <c r="E34" s="231">
        <f>IF('Danh muc'!F34="tiền mặt",0,'Bảng tính toán'!CF34)</f>
        <v>354000</v>
      </c>
      <c r="F34" s="181">
        <f>IF('Danh muc'!F34="tiền mặt","",('Danh muc'!W34+'Danh muc'!X34))</f>
        <v>1856000</v>
      </c>
    </row>
    <row r="35" spans="1:6" s="182" customFormat="1" ht="35.25" customHeight="1">
      <c r="A35" s="179">
        <v>28</v>
      </c>
      <c r="B35" s="180">
        <f>IF('Danh muc'!F35="tiền mặt","",'Danh muc'!B35)</f>
        <v>23031500</v>
      </c>
      <c r="C35" s="180" t="str">
        <f>IF('Danh muc'!F35="tiền mặt","",'Danh muc'!C35)</f>
        <v>Phan Thị Thúy Hằng</v>
      </c>
      <c r="D35" s="146" t="str">
        <f>IF('Danh muc'!F35="tiền mặt","",'Danh muc'!F35)</f>
        <v>104 980 0352</v>
      </c>
      <c r="E35" s="231">
        <f>IF('Danh muc'!F35="tiền mặt",0,'Bảng tính toán'!CF35)</f>
        <v>361000</v>
      </c>
      <c r="F35" s="181">
        <f>IF('Danh muc'!F35="tiền mặt","",('Danh muc'!W35+'Danh muc'!X35))</f>
        <v>1824000</v>
      </c>
    </row>
    <row r="36" spans="1:6" s="182" customFormat="1" ht="35.25" customHeight="1">
      <c r="A36" s="179">
        <v>29</v>
      </c>
      <c r="B36" s="180">
        <f>IF('Danh muc'!F36="tiền mặt","",'Danh muc'!B36)</f>
        <v>23013100</v>
      </c>
      <c r="C36" s="180" t="str">
        <f>IF('Danh muc'!F36="tiền mặt","",'Danh muc'!C36)</f>
        <v>Huỳnh Thị Cẩm Tú</v>
      </c>
      <c r="D36" s="146" t="str">
        <f>IF('Danh muc'!F36="tiền mặt","",'Danh muc'!F36)</f>
        <v>104 980 5768</v>
      </c>
      <c r="E36" s="231">
        <f>IF('Danh muc'!F36="tiền mặt",0,'Bảng tính toán'!CF36)</f>
        <v>361000</v>
      </c>
      <c r="F36" s="181">
        <f>IF('Danh muc'!F36="tiền mặt","",('Danh muc'!W36+'Danh muc'!X36))</f>
        <v>1824000</v>
      </c>
    </row>
    <row r="37" spans="1:6" s="236" customFormat="1" ht="35.25" customHeight="1">
      <c r="A37" s="179">
        <v>30</v>
      </c>
      <c r="B37" s="180">
        <f>IF('Danh muc'!F37="tiền mặt","",'Danh muc'!B37)</f>
        <v>23030100</v>
      </c>
      <c r="C37" s="180" t="str">
        <f>IF('Danh muc'!F37="tiền mặt","",'Danh muc'!C37)</f>
        <v>Đinh Phương Thảo</v>
      </c>
      <c r="D37" s="291" t="str">
        <f>IF('Danh muc'!F37="tiền mặt","",'Danh muc'!F37)</f>
        <v>3703 806 713</v>
      </c>
      <c r="E37" s="292">
        <f>IF('Danh muc'!F37="tiền mặt",0,'Bảng tính toán'!CF37)</f>
        <v>263000</v>
      </c>
      <c r="F37" s="293">
        <f>IF('Danh muc'!F37="tiền mặt","",('Danh muc'!W37+'Danh muc'!X37))</f>
        <v>1920000</v>
      </c>
    </row>
    <row r="38" spans="1:6" s="182" customFormat="1" ht="35.25" customHeight="1">
      <c r="A38" s="179">
        <v>31</v>
      </c>
      <c r="B38" s="180">
        <f>IF('Danh muc'!F38="tiền mặt","",'Danh muc'!B38)</f>
        <v>24080500</v>
      </c>
      <c r="C38" s="180" t="str">
        <f>IF('Danh muc'!F38="tiền mặt","",'Danh muc'!C38)</f>
        <v>Võ Thị Thúy Kiều</v>
      </c>
      <c r="D38" s="146" t="str">
        <f>IF('Danh muc'!F38="tiền mặt","",'Danh muc'!F38)</f>
        <v>104 980 9572</v>
      </c>
      <c r="E38" s="231">
        <f>IF('Danh muc'!F38="tiền mặt",0,'Bảng tính toán'!CF38)</f>
        <v>284000</v>
      </c>
      <c r="F38" s="181">
        <f>IF('Danh muc'!F38="tiền mặt","",('Danh muc'!W38+'Danh muc'!X38))</f>
        <v>1824000</v>
      </c>
    </row>
    <row r="39" spans="1:6" s="182" customFormat="1" ht="35.25" customHeight="1">
      <c r="A39" s="179">
        <v>32</v>
      </c>
      <c r="B39" s="180">
        <f>IF('Danh muc'!F39="tiền mặt","",'Danh muc'!B39)</f>
        <v>23041700</v>
      </c>
      <c r="C39" s="180" t="str">
        <f>IF('Danh muc'!F39="tiền mặt","",'Danh muc'!C39)</f>
        <v>Trần Thị Cẩm Tiên</v>
      </c>
      <c r="D39" s="146" t="str">
        <f>IF('Danh muc'!F39="tiền mặt","",'Danh muc'!F39)</f>
        <v>3342 229 060</v>
      </c>
      <c r="E39" s="231">
        <f>IF('Danh muc'!F39="tiền mặt",0,'Bảng tính toán'!CF39)</f>
        <v>270000</v>
      </c>
      <c r="F39" s="181">
        <f>IF('Danh muc'!F39="tiền mặt","",('Danh muc'!W39+'Danh muc'!X39))</f>
        <v>1888000</v>
      </c>
    </row>
    <row r="40" spans="1:6" s="182" customFormat="1" ht="35.25" customHeight="1">
      <c r="A40" s="179">
        <v>33</v>
      </c>
      <c r="B40" s="180">
        <f>IF('Danh muc'!F40="tiền mặt","",'Danh muc'!B40)</f>
        <v>25080800</v>
      </c>
      <c r="C40" s="180" t="str">
        <f>IF('Danh muc'!F40="tiền mặt","",'Danh muc'!C40)</f>
        <v>Phan Thanh Toàn</v>
      </c>
      <c r="D40" s="146" t="str">
        <f>IF('Danh muc'!F40="tiền mặt","",'Danh muc'!F40)</f>
        <v>9394 766 541</v>
      </c>
      <c r="E40" s="231">
        <f>IF('Danh muc'!F40="tiền mặt",0,'Bảng tính toán'!CF40)</f>
        <v>-366000</v>
      </c>
      <c r="F40" s="181">
        <f>IF('Danh muc'!F40="tiền mặt","",('Danh muc'!W40+'Danh muc'!X40))</f>
        <v>1760000</v>
      </c>
    </row>
    <row r="41" spans="1:6" s="182" customFormat="1" ht="35.25" customHeight="1">
      <c r="A41" s="179">
        <v>34</v>
      </c>
      <c r="B41" s="180">
        <f>IF('Danh muc'!F41="tiền mặt","",'Danh muc'!B41)</f>
        <v>24022100</v>
      </c>
      <c r="C41" s="180" t="str">
        <f>IF('Danh muc'!F41="tiền mặt","",'Danh muc'!C41)</f>
        <v>Nguyễn Thị Hồng Nhung</v>
      </c>
      <c r="D41" s="146" t="str">
        <f>IF('Danh muc'!F41="tiền mặt","",'Danh muc'!F41)</f>
        <v>103 703 5714</v>
      </c>
      <c r="E41" s="231">
        <f>IF('Danh muc'!F41="tiền mặt",0,'Bảng tính toán'!CF41)</f>
        <v>284000</v>
      </c>
      <c r="F41" s="181">
        <f>IF('Danh muc'!F41="tiền mặt","",('Danh muc'!W41+'Danh muc'!X41))</f>
        <v>1824000</v>
      </c>
    </row>
    <row r="42" spans="1:6" s="182" customFormat="1" ht="35.25" customHeight="1">
      <c r="A42" s="179">
        <v>35</v>
      </c>
      <c r="B42" s="180">
        <f>IF('Danh muc'!F42="tiền mặt","",'Danh muc'!B42)</f>
        <v>24061900</v>
      </c>
      <c r="C42" s="180" t="str">
        <f>IF('Danh muc'!F42="tiền mặt","",'Danh muc'!C42)</f>
        <v>Lê Thị Hồng Hiếu</v>
      </c>
      <c r="D42" s="146" t="str">
        <f>IF('Danh muc'!F42="tiền mặt","",'Danh muc'!F42)</f>
        <v>104 980 4647</v>
      </c>
      <c r="E42" s="231">
        <f>IF('Danh muc'!F42="tiền mặt",0,'Bảng tính toán'!CF42)</f>
        <v>277000</v>
      </c>
      <c r="F42" s="181">
        <f>IF('Danh muc'!F42="tiền mặt","",('Danh muc'!W42+'Danh muc'!X42))</f>
        <v>1856000</v>
      </c>
    </row>
    <row r="43" spans="1:6" s="182" customFormat="1" ht="35.25" customHeight="1">
      <c r="A43" s="179">
        <v>36</v>
      </c>
      <c r="B43" s="180">
        <f>IF('Danh muc'!F43="tiền mặt","",'Danh muc'!B43)</f>
        <v>23071800</v>
      </c>
      <c r="C43" s="180" t="str">
        <f>IF('Danh muc'!F43="tiền mặt","",'Danh muc'!C43)</f>
        <v>Lê Minh Phát</v>
      </c>
      <c r="D43" s="146" t="str">
        <f>IF('Danh muc'!F43="tiền mặt","",'Danh muc'!F43)</f>
        <v>7908 712 407</v>
      </c>
      <c r="E43" s="231">
        <f>IF('Danh muc'!F43="tiền mặt",0,'Bảng tính toán'!CF43)</f>
        <v>640000</v>
      </c>
      <c r="F43" s="181">
        <f>IF('Danh muc'!F43="tiền mặt","",('Danh muc'!W43+'Danh muc'!X43))</f>
        <v>1952000</v>
      </c>
    </row>
    <row r="44" spans="1:6" s="182" customFormat="1" ht="35.25" customHeight="1">
      <c r="A44" s="179">
        <v>37</v>
      </c>
      <c r="B44" s="180">
        <f>IF('Danh muc'!F44="tiền mặt","",'Danh muc'!B44)</f>
        <v>23082200</v>
      </c>
      <c r="C44" s="180" t="str">
        <f>IF('Danh muc'!F44="tiền mặt","",'Danh muc'!C44)</f>
        <v>Hồ Sóng Vổ</v>
      </c>
      <c r="D44" s="146" t="str">
        <f>IF('Danh muc'!F44="tiền mặt","",'Danh muc'!F44)</f>
        <v>1943 323 680</v>
      </c>
      <c r="E44" s="231">
        <f>IF('Danh muc'!F44="tiền mặt",0,'Bảng tính toán'!CF44)</f>
        <v>640000</v>
      </c>
      <c r="F44" s="181">
        <f>IF('Danh muc'!F44="tiền mặt","",('Danh muc'!W44+'Danh muc'!X44))</f>
        <v>1952000</v>
      </c>
    </row>
    <row r="45" spans="1:6" s="182" customFormat="1" ht="35.25" customHeight="1">
      <c r="A45" s="179">
        <v>38</v>
      </c>
      <c r="B45" s="180">
        <f>IF('Danh muc'!F45="tiền mặt","",'Danh muc'!B45)</f>
        <v>23081500</v>
      </c>
      <c r="C45" s="180" t="str">
        <f>IF('Danh muc'!F45="tiền mặt","",'Danh muc'!C45)</f>
        <v>Nguyễn Thị Nhớ</v>
      </c>
      <c r="D45" s="146" t="str">
        <f>IF('Danh muc'!F45="tiền mặt","",'Danh muc'!F45)</f>
        <v>1876  640  616</v>
      </c>
      <c r="E45" s="231">
        <f>IF('Danh muc'!F45="tiền mặt",0,'Bảng tính toán'!CF45)</f>
        <v>246000</v>
      </c>
      <c r="F45" s="181">
        <f>IF('Danh muc'!F45="tiền mặt","",('Danh muc'!W45+'Danh muc'!X45))</f>
        <v>1824000</v>
      </c>
    </row>
    <row r="46" spans="1:6" s="182" customFormat="1" ht="35.25" customHeight="1">
      <c r="A46" s="179">
        <v>39</v>
      </c>
      <c r="B46" s="180">
        <f>IF('Danh muc'!F46="tiền mặt","",'Danh muc'!B46)</f>
        <v>24061301</v>
      </c>
      <c r="C46" s="180" t="str">
        <f>IF('Danh muc'!F46="tiền mặt","",'Danh muc'!C46)</f>
        <v>Hồ Văn Tùng</v>
      </c>
      <c r="D46" s="146" t="str">
        <f>IF('Danh muc'!F46="tiền mặt","",'Danh muc'!F46)</f>
        <v>000 105 764 1091</v>
      </c>
      <c r="E46" s="231">
        <f>IF('Danh muc'!F46="tiền mặt",0,'Bảng tính toán'!CF46)</f>
        <v>630000</v>
      </c>
      <c r="F46" s="181">
        <f>IF('Danh muc'!F46="tiền mặt","",('Danh muc'!W46+'Danh muc'!X46))</f>
        <v>1824000</v>
      </c>
    </row>
    <row r="47" spans="1:6" s="182" customFormat="1" ht="35.25" customHeight="1">
      <c r="A47" s="179">
        <v>40</v>
      </c>
      <c r="B47" s="180">
        <f>IF('Danh muc'!F47="tiền mặt","",'Danh muc'!B47)</f>
        <v>22072300</v>
      </c>
      <c r="C47" s="180" t="str">
        <f>IF('Danh muc'!F47="tiền mặt","",'Danh muc'!C47)</f>
        <v>Hồ Thị Ngọc Hiền</v>
      </c>
      <c r="D47" s="146" t="str">
        <f>IF('Danh muc'!F47="tiền mặt","",'Danh muc'!F47)</f>
        <v>3937 291 618</v>
      </c>
      <c r="E47" s="231">
        <f>IF('Danh muc'!F47="tiền mặt",0,'Bảng tính toán'!CF47)</f>
        <v>679000</v>
      </c>
      <c r="F47" s="181">
        <f>IF('Danh muc'!F47="tiền mặt","",('Danh muc'!W47+'Danh muc'!X47))</f>
        <v>1952000</v>
      </c>
    </row>
    <row r="48" spans="1:6" s="182" customFormat="1" ht="35.25" customHeight="1">
      <c r="A48" s="179">
        <v>41</v>
      </c>
      <c r="B48" s="180">
        <f>IF('Danh muc'!F48="tiền mặt","",'Danh muc'!B48)</f>
        <v>22103100</v>
      </c>
      <c r="C48" s="180" t="str">
        <f>IF('Danh muc'!F48="tiền mặt","",'Danh muc'!C48)</f>
        <v>Nguyễn Duy Linh</v>
      </c>
      <c r="D48" s="146" t="str">
        <f>IF('Danh muc'!F48="tiền mặt","",'Danh muc'!F48)</f>
        <v>3365 994 895</v>
      </c>
      <c r="E48" s="231">
        <f>IF('Danh muc'!F48="tiền mặt",0,'Bảng tính toán'!CF48)</f>
        <v>347000</v>
      </c>
      <c r="F48" s="181">
        <f>IF('Danh muc'!F48="tiền mặt","",('Danh muc'!W48+'Danh muc'!X48))</f>
        <v>1888000</v>
      </c>
    </row>
    <row r="49" spans="1:6" s="182" customFormat="1" ht="35.25" customHeight="1">
      <c r="A49" s="179">
        <v>42</v>
      </c>
      <c r="B49" s="180">
        <f>IF('Danh muc'!F49="tiền mặt","",'Danh muc'!B49)</f>
        <v>25062300</v>
      </c>
      <c r="C49" s="180" t="str">
        <f>IF('Danh muc'!F49="tiền mặt","",'Danh muc'!C49)</f>
        <v>Nguyễn Thị Kim Anh</v>
      </c>
      <c r="D49" s="146" t="str">
        <f>IF('Danh muc'!F49="tiền mặt","",'Danh muc'!F49)</f>
        <v>9363 804 021</v>
      </c>
      <c r="E49" s="231">
        <f>IF('Danh muc'!F49="tiền mặt",0,'Bảng tính toán'!CF49)</f>
        <v>185000</v>
      </c>
      <c r="F49" s="181">
        <f>IF('Danh muc'!F49="tiền mặt","",('Danh muc'!W49+'Danh muc'!X49))</f>
        <v>1699200</v>
      </c>
    </row>
    <row r="50" spans="1:6" s="182" customFormat="1" ht="35.25" customHeight="1">
      <c r="A50" s="179">
        <v>43</v>
      </c>
      <c r="B50" s="180">
        <f>IF('Danh muc'!F50="tiền mặt","",'Danh muc'!B50)</f>
        <v>24090700</v>
      </c>
      <c r="C50" s="180" t="str">
        <f>IF('Danh muc'!F50="tiền mặt","",'Danh muc'!C50)</f>
        <v>Lê Thị Cẩm Nhiên</v>
      </c>
      <c r="D50" s="146" t="str">
        <f>IF('Danh muc'!F50="tiền mặt","",'Danh muc'!F50)</f>
        <v>000 105 764 1341</v>
      </c>
      <c r="E50" s="231">
        <f>IF('Danh muc'!F50="tiền mặt",0,'Bảng tính toán'!CF50)</f>
        <v>306000</v>
      </c>
      <c r="F50" s="181">
        <f>IF('Danh muc'!F50="tiền mặt","",('Danh muc'!W50+'Danh muc'!X50))</f>
        <v>1760000</v>
      </c>
    </row>
    <row r="51" spans="1:6" s="182" customFormat="1" ht="35.25" customHeight="1">
      <c r="A51" s="179">
        <v>44</v>
      </c>
      <c r="B51" s="180">
        <f>IF('Danh muc'!F51="tiền mặt","",'Danh muc'!B51)</f>
        <v>23061400</v>
      </c>
      <c r="C51" s="180" t="str">
        <f>IF('Danh muc'!F51="tiền mặt","",'Danh muc'!C51)</f>
        <v>Nguyễn Thị Hoa</v>
      </c>
      <c r="D51" s="146" t="str">
        <f>IF('Danh muc'!F51="tiền mặt","",'Danh muc'!F51)</f>
        <v>9364 804 917</v>
      </c>
      <c r="E51" s="231">
        <f>IF('Danh muc'!F51="tiền mặt",0,'Bảng tính toán'!CF51)</f>
        <v>298000</v>
      </c>
      <c r="F51" s="181">
        <f>IF('Danh muc'!F51="tiền mặt","",('Danh muc'!W51+'Danh muc'!X51))</f>
        <v>1760000</v>
      </c>
    </row>
    <row r="52" spans="1:6" s="182" customFormat="1" ht="35.25" customHeight="1">
      <c r="A52" s="179">
        <v>45</v>
      </c>
      <c r="B52" s="180">
        <f>IF('Danh muc'!F52="tiền mặt","",'Danh muc'!B52)</f>
        <v>24051300</v>
      </c>
      <c r="C52" s="180" t="str">
        <f>IF('Danh muc'!F52="tiền mặt","",'Danh muc'!C52)</f>
        <v>Lê Văn Kiệt</v>
      </c>
      <c r="D52" s="146" t="str">
        <f>IF('Danh muc'!F52="tiền mặt","",'Danh muc'!F52)</f>
        <v>104 980 2926</v>
      </c>
      <c r="E52" s="231">
        <f>IF('Danh muc'!F52="tiền mặt",0,'Bảng tính toán'!CF52)</f>
        <v>169000</v>
      </c>
      <c r="F52" s="181">
        <f>IF('Danh muc'!F52="tiền mặt","",('Danh muc'!W52+'Danh muc'!X52))</f>
        <v>1824000</v>
      </c>
    </row>
    <row r="53" spans="1:6" s="182" customFormat="1" ht="44.25" hidden="1" customHeight="1">
      <c r="A53" s="179">
        <v>41</v>
      </c>
      <c r="B53" s="180">
        <f>IF('Danh muc'!F53="tiền mặt","",'Danh muc'!B53)</f>
        <v>24030300</v>
      </c>
      <c r="C53" s="180" t="str">
        <f>IF('Danh muc'!F53="tiền mặt","",'Danh muc'!C53)</f>
        <v>Nguyễn Đoàn Duy Khương</v>
      </c>
      <c r="D53" s="146" t="str">
        <f>IF('Danh muc'!F53="tiền mặt","",'Danh muc'!F53)</f>
        <v>104 980 1669</v>
      </c>
      <c r="E53" s="231">
        <f>IF('Danh muc'!F53="tiền mặt",0,'Bảng tính toán'!CF53)</f>
        <v>207000</v>
      </c>
      <c r="F53" s="181">
        <f>IF('Danh muc'!F53="tiền mặt","",('Danh muc'!W53+'Danh muc'!X53))</f>
        <v>1824000</v>
      </c>
    </row>
    <row r="54" spans="1:6" s="182" customFormat="1" ht="35.25" customHeight="1">
      <c r="A54" s="179">
        <v>46</v>
      </c>
      <c r="B54" s="180">
        <f>IF('Danh muc'!F54="tiền mặt","",'Danh muc'!B54)</f>
        <v>17010101</v>
      </c>
      <c r="C54" s="180" t="str">
        <f>IF('Danh muc'!F54="tiền mặt","",'Danh muc'!C54)</f>
        <v>Nguyễn Minh Thùy</v>
      </c>
      <c r="D54" s="146" t="str">
        <f>IF('Danh muc'!F54="tiền mặt","",'Danh muc'!F54)</f>
        <v>3939 316 371</v>
      </c>
      <c r="E54" s="231">
        <f>IF('Danh muc'!F54="tiền mặt",0,'Bảng tính toán'!CF54)</f>
        <v>1621000</v>
      </c>
      <c r="F54" s="181">
        <f>IF('Danh muc'!F54="tiền mặt","",('Danh muc'!W54+'Danh muc'!X54))</f>
        <v>2208000</v>
      </c>
    </row>
    <row r="55" spans="1:6" s="182" customFormat="1" ht="35.25" customHeight="1">
      <c r="A55" s="179">
        <v>47</v>
      </c>
      <c r="B55" s="180">
        <f>IF('Danh muc'!F55="tiền mặt","",'Danh muc'!B55)</f>
        <v>22031100</v>
      </c>
      <c r="C55" s="180" t="str">
        <f>IF('Danh muc'!F55="tiền mặt","",'Danh muc'!C55)</f>
        <v>Nguyễn Chí Nhân</v>
      </c>
      <c r="D55" s="146" t="str">
        <f>IF('Danh muc'!F55="tiền mặt","",'Danh muc'!F55)</f>
        <v>7945 691 656</v>
      </c>
      <c r="E55" s="231">
        <f>IF('Danh muc'!F55="tiền mặt",0,'Bảng tính toán'!CF55)</f>
        <v>626000</v>
      </c>
      <c r="F55" s="181">
        <f>IF('Danh muc'!F55="tiền mặt","",('Danh muc'!W55+'Danh muc'!X55))</f>
        <v>2016000</v>
      </c>
    </row>
    <row r="56" spans="1:6" s="182" customFormat="1" ht="35.25" customHeight="1">
      <c r="A56" s="179">
        <v>48</v>
      </c>
      <c r="B56" s="180">
        <f>IF('Danh muc'!F56="tiền mặt","",'Danh muc'!B56)</f>
        <v>22091400</v>
      </c>
      <c r="C56" s="180" t="str">
        <f>IF('Danh muc'!F56="tiền mặt","",'Danh muc'!C56)</f>
        <v>Tăng Thị Vành Na</v>
      </c>
      <c r="D56" s="146" t="str">
        <f>IF('Danh muc'!F56="tiền mặt","",'Danh muc'!F56)</f>
        <v>1942 275 042</v>
      </c>
      <c r="E56" s="231">
        <f>IF('Danh muc'!F56="tiền mặt",0,'Bảng tính toán'!CF56)</f>
        <v>231000</v>
      </c>
      <c r="F56" s="181">
        <f>IF('Danh muc'!F56="tiền mặt","",('Danh muc'!W56+'Danh muc'!X56))</f>
        <v>1888000</v>
      </c>
    </row>
    <row r="57" spans="1:6" s="182" customFormat="1" ht="35.25" customHeight="1">
      <c r="A57" s="179">
        <v>49</v>
      </c>
      <c r="B57" s="180">
        <f>IF('Danh muc'!F57="tiền mặt","",'Danh muc'!B57)</f>
        <v>22040500</v>
      </c>
      <c r="C57" s="180" t="str">
        <f>IF('Danh muc'!F57="tiền mặt","",'Danh muc'!C57)</f>
        <v>Nguyễn Thị Ngọc Linh</v>
      </c>
      <c r="D57" s="146" t="str">
        <f>IF('Danh muc'!F57="tiền mặt","",'Danh muc'!F57)</f>
        <v>3339 077 588</v>
      </c>
      <c r="E57" s="231">
        <f>IF('Danh muc'!F57="tiền mặt",0,'Bảng tính toán'!CF57)</f>
        <v>332000</v>
      </c>
      <c r="F57" s="181">
        <f>IF('Danh muc'!F57="tiền mặt","",('Danh muc'!W57+'Danh muc'!X57))</f>
        <v>1952000</v>
      </c>
    </row>
    <row r="58" spans="1:6" s="182" customFormat="1" ht="35.25" customHeight="1">
      <c r="A58" s="179">
        <v>50</v>
      </c>
      <c r="B58" s="180">
        <f>IF('Danh muc'!F58="tiền mặt","",'Danh muc'!B58)</f>
        <v>23062300</v>
      </c>
      <c r="C58" s="180" t="str">
        <f>IF('Danh muc'!F58="tiền mặt","",'Danh muc'!C58)</f>
        <v>Huỳnh Thị Mỹ Nhiên</v>
      </c>
      <c r="D58" s="146" t="str">
        <f>IF('Danh muc'!F58="tiền mặt","",'Danh muc'!F58)</f>
        <v>000 105 764 1532</v>
      </c>
      <c r="E58" s="231">
        <f>IF('Danh muc'!F58="tiền mặt",0,'Bảng tính toán'!CF58)</f>
        <v>361000</v>
      </c>
      <c r="F58" s="181">
        <f>IF('Danh muc'!F58="tiền mặt","",('Danh muc'!W58+'Danh muc'!X58))</f>
        <v>1824000</v>
      </c>
    </row>
    <row r="59" spans="1:6" s="182" customFormat="1" ht="39" hidden="1" customHeight="1">
      <c r="A59" s="179"/>
      <c r="B59" s="180">
        <f>IF('Danh muc'!F59="tiền mặt","",'Danh muc'!B59)</f>
        <v>25061800</v>
      </c>
      <c r="C59" s="180" t="str">
        <f>IF('Danh muc'!F59="tiền mặt","",'Danh muc'!C59)</f>
        <v>Nguyễn Huỳnh Minh Phát</v>
      </c>
      <c r="D59" s="146" t="str">
        <f>IF('Danh muc'!F59="tiền mặt","",'Danh muc'!F59)</f>
        <v>1051 573 860</v>
      </c>
      <c r="E59" s="231">
        <f>IF('Danh muc'!F59="tiền mặt",0,'Bảng tính toán'!CF59)</f>
        <v>9010000</v>
      </c>
      <c r="F59" s="181">
        <f>IF('Danh muc'!F59="tiền mặt","",('Danh muc'!W59+'Danh muc'!X59))</f>
        <v>1760000</v>
      </c>
    </row>
    <row r="60" spans="1:6" s="182" customFormat="1" ht="35.25" customHeight="1">
      <c r="A60" s="179">
        <v>51</v>
      </c>
      <c r="B60" s="180">
        <f>IF('Danh muc'!F60="tiền mặt","",'Danh muc'!B60)</f>
        <v>25031700</v>
      </c>
      <c r="C60" s="180" t="str">
        <f>IF('Danh muc'!F60="tiền mặt","",'Danh muc'!C60)</f>
        <v>Nguyễn Thị Bích Ngọc</v>
      </c>
      <c r="D60" s="146" t="str">
        <f>IF('Danh muc'!F60="tiền mặt","",'Danh muc'!F60)</f>
        <v>1059 007 163</v>
      </c>
      <c r="E60" s="231">
        <f>IF('Danh muc'!F60="tiền mặt",0,'Bảng tính toán'!CF60)</f>
        <v>145000</v>
      </c>
      <c r="F60" s="181">
        <f>IF('Danh muc'!F60="tiền mặt","",('Danh muc'!W60+'Danh muc'!X60))</f>
        <v>1760000</v>
      </c>
    </row>
    <row r="61" spans="1:6" s="182" customFormat="1" ht="39" hidden="1" customHeight="1">
      <c r="A61" s="179">
        <v>46</v>
      </c>
      <c r="B61" s="180">
        <f>IF('Danh muc'!F61="tiền mặt","",'Danh muc'!B61)</f>
        <v>25060200</v>
      </c>
      <c r="C61" s="180" t="str">
        <f>IF('Danh muc'!F61="tiền mặt","",'Danh muc'!C61)</f>
        <v>Nguyễn Thị Thúy Ngọc</v>
      </c>
      <c r="D61" s="146" t="str">
        <f>IF('Danh muc'!F61="tiền mặt","",'Danh muc'!F61)</f>
        <v>9913 247 875</v>
      </c>
      <c r="E61" s="231">
        <f>IF('Danh muc'!F61="tiền mặt",0,'Bảng tính toán'!CF61)</f>
        <v>114000</v>
      </c>
      <c r="F61" s="181">
        <f>IF('Danh muc'!F61="tiền mặt","",('Danh muc'!W61+'Danh muc'!X61))</f>
        <v>1699200</v>
      </c>
    </row>
    <row r="62" spans="1:6" s="182" customFormat="1" ht="39" hidden="1" customHeight="1">
      <c r="A62" s="179">
        <v>47</v>
      </c>
      <c r="B62" s="180">
        <f>IF('Danh muc'!F62="tiền mặt","",'Danh muc'!B62)</f>
        <v>0</v>
      </c>
      <c r="C62" s="180">
        <f>IF('Danh muc'!F62="tiền mặt","",'Danh muc'!C62)</f>
        <v>0</v>
      </c>
      <c r="D62" s="146">
        <f>IF('Danh muc'!F62="tiền mặt","",'Danh muc'!F62)</f>
        <v>0</v>
      </c>
      <c r="E62" s="231">
        <f>IF('Danh muc'!F62="tiền mặt",0,'Bảng tính toán'!CF62)</f>
        <v>0</v>
      </c>
      <c r="F62" s="181">
        <f>IF('Danh muc'!F62="tiền mặt","",('Danh muc'!W62+'Danh muc'!X62))</f>
        <v>0</v>
      </c>
    </row>
    <row r="63" spans="1:6" s="182" customFormat="1" ht="39" hidden="1" customHeight="1">
      <c r="A63" s="179">
        <v>49</v>
      </c>
      <c r="B63" s="180">
        <f>IF('Danh muc'!F63="tiền mặt","",'Danh muc'!B63)</f>
        <v>0</v>
      </c>
      <c r="C63" s="180">
        <f>IF('Danh muc'!F63="tiền mặt","",'Danh muc'!C63)</f>
        <v>0</v>
      </c>
      <c r="D63" s="146">
        <f>IF('Danh muc'!F63="tiền mặt","",'Danh muc'!F63)</f>
        <v>0</v>
      </c>
      <c r="E63" s="231">
        <f>IF('Danh muc'!F63="tiền mặt",0,'Bảng tính toán'!CF63)</f>
        <v>0</v>
      </c>
      <c r="F63" s="181">
        <f>IF('Danh muc'!F63="tiền mặt","",('Danh muc'!W63+'Danh muc'!X63))</f>
        <v>0</v>
      </c>
    </row>
    <row r="64" spans="1:6" s="182" customFormat="1" ht="39" hidden="1" customHeight="1">
      <c r="A64" s="179">
        <v>48</v>
      </c>
      <c r="B64" s="180">
        <f>IF('Danh muc'!F64="tiền mặt","",'Danh muc'!B64)</f>
        <v>0</v>
      </c>
      <c r="C64" s="180">
        <f>IF('Danh muc'!F64="tiền mặt","",'Danh muc'!C64)</f>
        <v>0</v>
      </c>
      <c r="D64" s="146">
        <f>IF('Danh muc'!F64="tiền mặt","",'Danh muc'!F64)</f>
        <v>0</v>
      </c>
      <c r="E64" s="231">
        <f>IF('Danh muc'!F64="tiền mặt",0,'Bảng tính toán'!CF64)</f>
        <v>0</v>
      </c>
      <c r="F64" s="181">
        <f>IF('Danh muc'!F64="tiền mặt","",('Danh muc'!W64+'Danh muc'!X64))</f>
        <v>0</v>
      </c>
    </row>
    <row r="65" spans="1:6" s="182" customFormat="1" ht="39" hidden="1" customHeight="1">
      <c r="A65" s="179">
        <v>49</v>
      </c>
      <c r="B65" s="180">
        <f>IF('Danh muc'!F65="tiền mặt","",'Danh muc'!B65)</f>
        <v>0</v>
      </c>
      <c r="C65" s="180">
        <f>IF('Danh muc'!F65="tiền mặt","",'Danh muc'!C65)</f>
        <v>0</v>
      </c>
      <c r="D65" s="146">
        <f>IF('Danh muc'!F65="tiền mặt","",'Danh muc'!F65)</f>
        <v>0</v>
      </c>
      <c r="E65" s="231">
        <f>IF('Danh muc'!F65="tiền mặt",0,'Bảng tính toán'!CF65)</f>
        <v>0</v>
      </c>
      <c r="F65" s="181">
        <f>IF('Danh muc'!F65="tiền mặt","",('Danh muc'!W65+'Danh muc'!X65))</f>
        <v>0</v>
      </c>
    </row>
    <row r="66" spans="1:6" s="182" customFormat="1" ht="32.25" hidden="1" customHeight="1">
      <c r="A66" s="179"/>
      <c r="B66" s="180">
        <f>IF('Danh muc'!F66="tiền mặt","",'Danh muc'!B66)</f>
        <v>0</v>
      </c>
      <c r="C66" s="180">
        <f>IF('Danh muc'!F66="tiền mặt","",'Danh muc'!C66)</f>
        <v>0</v>
      </c>
      <c r="D66" s="146">
        <f>IF('Danh muc'!F66="tiền mặt","",'Danh muc'!F66)</f>
        <v>0</v>
      </c>
      <c r="E66" s="231">
        <f>IF('Danh muc'!F66="tiền mặt",0,'Bảng tính toán'!CF66)</f>
        <v>0</v>
      </c>
      <c r="F66" s="181">
        <f>IF('Danh muc'!F66="tiền mặt","",('Danh muc'!W66+'Danh muc'!X66))</f>
        <v>0</v>
      </c>
    </row>
    <row r="67" spans="1:6" s="182" customFormat="1" ht="32.25" hidden="1" customHeight="1">
      <c r="A67" s="179"/>
      <c r="B67" s="180">
        <f>IF('Danh muc'!F67="tiền mặt","",'Danh muc'!B67)</f>
        <v>0</v>
      </c>
      <c r="C67" s="180">
        <f>IF('Danh muc'!F67="tiền mặt","",'Danh muc'!C67)</f>
        <v>0</v>
      </c>
      <c r="D67" s="146">
        <f>IF('Danh muc'!F67="tiền mặt","",'Danh muc'!F67)</f>
        <v>0</v>
      </c>
      <c r="E67" s="231">
        <f>IF('Danh muc'!F67="tiền mặt",0,'Bảng tính toán'!CF67)</f>
        <v>0</v>
      </c>
      <c r="F67" s="181">
        <f>IF('Danh muc'!F67="tiền mặt","",('Danh muc'!W67+'Danh muc'!X67))</f>
        <v>0</v>
      </c>
    </row>
    <row r="68" spans="1:6" s="182" customFormat="1" ht="32.25" hidden="1" customHeight="1">
      <c r="A68" s="179">
        <v>50</v>
      </c>
      <c r="B68" s="180">
        <f>IF('Danh muc'!F68="tiền mặt","",'Danh muc'!B68)</f>
        <v>0</v>
      </c>
      <c r="C68" s="180">
        <f>IF('Danh muc'!F68="tiền mặt","",'Danh muc'!C68)</f>
        <v>0</v>
      </c>
      <c r="D68" s="146">
        <f>IF('Danh muc'!F68="tiền mặt","",'Danh muc'!F68)</f>
        <v>0</v>
      </c>
      <c r="E68" s="231">
        <f>IF('Danh muc'!F68="tiền mặt",0,'Bảng tính toán'!CF68)</f>
        <v>0</v>
      </c>
      <c r="F68" s="181">
        <f>IF('Danh muc'!F68="tiền mặt","",('Danh muc'!W68+'Danh muc'!X68))</f>
        <v>0</v>
      </c>
    </row>
    <row r="69" spans="1:6" s="182" customFormat="1" ht="32.25" hidden="1" customHeight="1">
      <c r="A69" s="179"/>
      <c r="B69" s="180">
        <f>IF('Danh muc'!F69="tiền mặt","",'Danh muc'!B69)</f>
        <v>0</v>
      </c>
      <c r="C69" s="180">
        <f>IF('Danh muc'!F69="tiền mặt","",'Danh muc'!C69)</f>
        <v>0</v>
      </c>
      <c r="D69" s="146">
        <f>IF('Danh muc'!F69="tiền mặt","",'Danh muc'!F69)</f>
        <v>0</v>
      </c>
      <c r="E69" s="231">
        <f>IF('Danh muc'!F69="tiền mặt",0,'Bảng tính toán'!CF69)</f>
        <v>0</v>
      </c>
      <c r="F69" s="181">
        <f>IF('Danh muc'!F69="tiền mặt","",('Danh muc'!W69+'Danh muc'!X69))</f>
        <v>0</v>
      </c>
    </row>
    <row r="70" spans="1:6" s="182" customFormat="1" ht="32.25" hidden="1" customHeight="1">
      <c r="A70" s="179"/>
      <c r="B70" s="180">
        <f>IF('Danh muc'!F70="tiền mặt","",'Danh muc'!B70)</f>
        <v>0</v>
      </c>
      <c r="C70" s="180">
        <f>IF('Danh muc'!F70="tiền mặt","",'Danh muc'!C70)</f>
        <v>0</v>
      </c>
      <c r="D70" s="146">
        <f>IF('Danh muc'!F70="tiền mặt","",'Danh muc'!F70)</f>
        <v>0</v>
      </c>
      <c r="E70" s="231">
        <f>IF('Danh muc'!F70="tiền mặt",0,'Bảng tính toán'!CF70)</f>
        <v>0</v>
      </c>
      <c r="F70" s="181">
        <f>IF('Danh muc'!F70="tiền mặt","",('Danh muc'!W70+'Danh muc'!X70))</f>
        <v>0</v>
      </c>
    </row>
    <row r="71" spans="1:6" s="182" customFormat="1" ht="32.25" hidden="1" customHeight="1">
      <c r="A71" s="179"/>
      <c r="B71" s="180">
        <f>IF('Danh muc'!F71="tiền mặt","",'Danh muc'!B71)</f>
        <v>0</v>
      </c>
      <c r="C71" s="180">
        <f>IF('Danh muc'!F71="tiền mặt","",'Danh muc'!C71)</f>
        <v>0</v>
      </c>
      <c r="D71" s="146">
        <f>IF('Danh muc'!F71="tiền mặt","",'Danh muc'!F71)</f>
        <v>0</v>
      </c>
      <c r="E71" s="231">
        <f>IF('Danh muc'!F71="tiền mặt",0,'Bảng tính toán'!CF71)</f>
        <v>0</v>
      </c>
      <c r="F71" s="181">
        <f>IF('Danh muc'!F71="tiền mặt","",('Danh muc'!W71+'Danh muc'!X71))</f>
        <v>0</v>
      </c>
    </row>
    <row r="72" spans="1:6" s="182" customFormat="1" ht="32.25" hidden="1" customHeight="1">
      <c r="A72" s="179"/>
      <c r="B72" s="180">
        <f>IF('Danh muc'!F72="tiền mặt","",'Danh muc'!B72)</f>
        <v>0</v>
      </c>
      <c r="C72" s="180">
        <f>IF('Danh muc'!F72="tiền mặt","",'Danh muc'!C72)</f>
        <v>0</v>
      </c>
      <c r="D72" s="146">
        <f>IF('Danh muc'!F72="tiền mặt","",'Danh muc'!F72)</f>
        <v>0</v>
      </c>
      <c r="E72" s="231">
        <f>IF('Danh muc'!F72="tiền mặt",0,'Bảng tính toán'!CF72)</f>
        <v>0</v>
      </c>
      <c r="F72" s="181">
        <f>IF('Danh muc'!F72="tiền mặt","",('Danh muc'!W72+'Danh muc'!X72))</f>
        <v>0</v>
      </c>
    </row>
    <row r="73" spans="1:6" s="184" customFormat="1" ht="35.25" customHeight="1">
      <c r="A73" s="513" t="s">
        <v>213</v>
      </c>
      <c r="B73" s="513"/>
      <c r="C73" s="513"/>
      <c r="D73" s="513"/>
      <c r="E73" s="309">
        <f>SUM(E8:E72)</f>
        <v>58365000</v>
      </c>
      <c r="F73" s="183">
        <f>SUM(F8:F60)</f>
        <v>110627200</v>
      </c>
    </row>
    <row r="74" spans="1:6" s="184" customFormat="1" ht="20.25" customHeight="1">
      <c r="A74" s="515"/>
      <c r="B74" s="515"/>
      <c r="C74" s="515"/>
      <c r="D74" s="515"/>
      <c r="E74" s="232"/>
      <c r="F74" s="232"/>
    </row>
    <row r="75" spans="1:6" s="184" customFormat="1" ht="8.25" customHeight="1">
      <c r="A75" s="233"/>
      <c r="B75" s="233"/>
      <c r="C75" s="233"/>
      <c r="D75" s="233"/>
      <c r="E75" s="234"/>
      <c r="F75" s="234"/>
    </row>
    <row r="76" spans="1:6" s="178" customFormat="1" ht="21.75">
      <c r="A76" s="514" t="s">
        <v>214</v>
      </c>
      <c r="B76" s="514"/>
      <c r="C76" s="514"/>
      <c r="D76" s="514" t="s">
        <v>272</v>
      </c>
      <c r="E76" s="514"/>
      <c r="F76" s="514"/>
    </row>
    <row r="77" spans="1:6" s="178" customFormat="1" ht="22.5">
      <c r="A77" s="299"/>
      <c r="B77" s="300"/>
      <c r="C77" s="299"/>
      <c r="D77" s="299"/>
      <c r="E77" s="301"/>
      <c r="F77" s="301"/>
    </row>
    <row r="78" spans="1:6" s="178" customFormat="1" ht="22.5">
      <c r="A78" s="299"/>
      <c r="B78" s="300"/>
      <c r="C78" s="299"/>
      <c r="D78" s="299"/>
      <c r="E78" s="301"/>
      <c r="F78" s="301"/>
    </row>
    <row r="79" spans="1:6" ht="22.5">
      <c r="A79" s="299"/>
      <c r="B79" s="299"/>
      <c r="C79" s="299"/>
      <c r="D79" s="299"/>
      <c r="E79" s="299"/>
      <c r="F79" s="299"/>
    </row>
    <row r="80" spans="1:6" ht="91.5" hidden="1" customHeight="1"/>
    <row r="81" spans="1:6" ht="20.25" hidden="1">
      <c r="A81" s="186" t="s">
        <v>259</v>
      </c>
    </row>
    <row r="82" spans="1:6" ht="20.25" hidden="1">
      <c r="A82" s="186" t="s">
        <v>261</v>
      </c>
    </row>
    <row r="83" spans="1:6" ht="20.25" hidden="1">
      <c r="A83" s="186" t="s">
        <v>260</v>
      </c>
    </row>
    <row r="84" spans="1:6" ht="20.25" hidden="1">
      <c r="A84" s="186" t="s">
        <v>262</v>
      </c>
      <c r="B84" s="512">
        <f>'Bang Thanh Toan Luong'!$G$76</f>
        <v>1701050</v>
      </c>
      <c r="C84" s="512"/>
    </row>
    <row r="85" spans="1:6" ht="20.25" hidden="1">
      <c r="A85" s="186" t="s">
        <v>263</v>
      </c>
    </row>
    <row r="86" spans="1:6" ht="20.25" hidden="1">
      <c r="A86" s="186"/>
    </row>
    <row r="87" spans="1:6" ht="20.25" hidden="1">
      <c r="A87" s="186"/>
    </row>
    <row r="88" spans="1:6" ht="22.5">
      <c r="A88" s="299"/>
      <c r="B88" s="299"/>
      <c r="C88" s="299"/>
      <c r="D88" s="299"/>
      <c r="E88" s="299"/>
      <c r="F88" s="299"/>
    </row>
    <row r="89" spans="1:6" ht="22.5">
      <c r="A89" s="511" t="s">
        <v>173</v>
      </c>
      <c r="B89" s="511"/>
      <c r="C89" s="511"/>
      <c r="D89" s="511" t="s">
        <v>2</v>
      </c>
      <c r="E89" s="511"/>
      <c r="F89" s="511"/>
    </row>
  </sheetData>
  <autoFilter ref="A7:F76" xr:uid="{00000000-0009-0000-0000-000005000000}">
    <filterColumn colId="4">
      <filters blank="1">
        <filter val="10,129,000"/>
        <filter val="10,173,000"/>
        <filter val="10,182,000"/>
        <filter val="10,222,000"/>
        <filter val="10,313,000"/>
        <filter val="10,314,000"/>
        <filter val="10,360,000"/>
        <filter val="10,391,000"/>
        <filter val="10,394,000"/>
        <filter val="10,617,000"/>
        <filter val="10,636,000"/>
        <filter val="10,649,000"/>
        <filter val="10,676,000"/>
        <filter val="10,877,000"/>
        <filter val="10,963,000"/>
        <filter val="11,150,000"/>
        <filter val="11,204,000"/>
        <filter val="11,287,000"/>
        <filter val="11,367,000"/>
        <filter val="11,598,000"/>
        <filter val="11,613,000"/>
        <filter val="11,641,000"/>
        <filter val="11,680,000"/>
        <filter val="11,809,000"/>
        <filter val="12,088,000"/>
        <filter val="12,103,000"/>
        <filter val="12,136,000"/>
        <filter val="12,239,000"/>
        <filter val="12,488,000"/>
        <filter val="13,168,000"/>
        <filter val="13,955,000"/>
        <filter val="14,081,000"/>
        <filter val="19,865,000"/>
        <filter val="545,800,000"/>
        <filter val="6,996,000"/>
        <filter val="7,152,000"/>
        <filter val="7,803,000"/>
        <filter val="7,822,000"/>
        <filter val="7,919,000"/>
        <filter val="8,377,000"/>
        <filter val="8,485,000"/>
        <filter val="8,526,000"/>
        <filter val="8,695,000"/>
        <filter val="9,188,000"/>
        <filter val="9,338,000"/>
        <filter val="9,500,000"/>
        <filter val="9,508,000"/>
        <filter val="9,838,000"/>
      </filters>
    </filterColumn>
  </autoFilter>
  <mergeCells count="16">
    <mergeCell ref="A89:C89"/>
    <mergeCell ref="D89:F89"/>
    <mergeCell ref="B84:C84"/>
    <mergeCell ref="A73:D73"/>
    <mergeCell ref="A76:C76"/>
    <mergeCell ref="D76:F76"/>
    <mergeCell ref="A74:D74"/>
    <mergeCell ref="A3:F3"/>
    <mergeCell ref="A4:F4"/>
    <mergeCell ref="A5:F5"/>
    <mergeCell ref="A6:A7"/>
    <mergeCell ref="B6:B7"/>
    <mergeCell ref="C6:C7"/>
    <mergeCell ref="D6:D7"/>
    <mergeCell ref="E6:E7"/>
    <mergeCell ref="F6:F7"/>
  </mergeCells>
  <conditionalFormatting sqref="D8:D72">
    <cfRule type="cellIs" dxfId="1" priority="1" operator="between">
      <formula>"tiền mặt"</formula>
      <formula>"tiền mặt"</formula>
    </cfRule>
  </conditionalFormatting>
  <printOptions horizontalCentered="1"/>
  <pageMargins left="0.2" right="0.25" top="0.25" bottom="0.25" header="0.3" footer="0.3"/>
  <pageSetup scale="90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Trang_tính2" filterMode="1"/>
  <dimension ref="A1:G81"/>
  <sheetViews>
    <sheetView topLeftCell="A3" workbookViewId="0">
      <selection activeCell="A81" sqref="A81:C81"/>
    </sheetView>
  </sheetViews>
  <sheetFormatPr defaultRowHeight="15"/>
  <cols>
    <col min="1" max="1" width="5.5703125" customWidth="1"/>
    <col min="2" max="2" width="14" bestFit="1" customWidth="1"/>
    <col min="3" max="3" width="31.7109375" customWidth="1"/>
    <col min="4" max="4" width="20.85546875" customWidth="1"/>
    <col min="5" max="5" width="22.140625" hidden="1" customWidth="1"/>
    <col min="6" max="6" width="23" customWidth="1"/>
    <col min="7" max="7" width="18" customWidth="1"/>
  </cols>
  <sheetData>
    <row r="1" spans="1:7" hidden="1"/>
    <row r="2" spans="1:7" hidden="1"/>
    <row r="3" spans="1:7" s="178" customFormat="1" ht="27">
      <c r="A3" s="499" t="s">
        <v>206</v>
      </c>
      <c r="B3" s="499"/>
      <c r="C3" s="499"/>
      <c r="D3" s="499"/>
      <c r="E3" s="499"/>
      <c r="F3" s="499"/>
      <c r="G3" s="499"/>
    </row>
    <row r="4" spans="1:7" s="178" customFormat="1" ht="22.5">
      <c r="A4" s="500" t="s">
        <v>301</v>
      </c>
      <c r="B4" s="500"/>
      <c r="C4" s="500"/>
      <c r="D4" s="500"/>
      <c r="E4" s="500"/>
      <c r="F4" s="500"/>
      <c r="G4" s="500"/>
    </row>
    <row r="5" spans="1:7" s="178" customFormat="1" ht="23.25">
      <c r="A5" s="501" t="s">
        <v>215</v>
      </c>
      <c r="B5" s="501"/>
      <c r="C5" s="501"/>
      <c r="D5" s="501"/>
      <c r="E5" s="501"/>
      <c r="F5" s="501"/>
      <c r="G5" s="501"/>
    </row>
    <row r="6" spans="1:7" s="186" customFormat="1" ht="20.25">
      <c r="A6" s="516" t="s">
        <v>208</v>
      </c>
      <c r="B6" s="517" t="s">
        <v>209</v>
      </c>
      <c r="C6" s="519" t="s">
        <v>210</v>
      </c>
      <c r="D6" s="517" t="s">
        <v>216</v>
      </c>
      <c r="E6" s="509" t="s">
        <v>227</v>
      </c>
      <c r="F6" s="520" t="s">
        <v>217</v>
      </c>
      <c r="G6" s="521" t="s">
        <v>218</v>
      </c>
    </row>
    <row r="7" spans="1:7" s="186" customFormat="1" ht="36" customHeight="1">
      <c r="A7" s="516"/>
      <c r="B7" s="518"/>
      <c r="C7" s="519"/>
      <c r="D7" s="518"/>
      <c r="E7" s="510"/>
      <c r="F7" s="520"/>
      <c r="G7" s="521"/>
    </row>
    <row r="8" spans="1:7" s="186" customFormat="1" ht="35.25" hidden="1" customHeight="1">
      <c r="A8" s="185"/>
      <c r="B8" s="187" t="str">
        <f>IF('Danh muc'!F8="tiền mặt",'Danh muc'!B8,"")</f>
        <v/>
      </c>
      <c r="C8" s="188" t="str">
        <f>IF('Danh muc'!F8="tiền mặt",'Danh muc'!C8,"")</f>
        <v/>
      </c>
      <c r="D8" s="189">
        <f>IF('Danh muc'!F8="tiền mặt",'Bảng tính toán'!BO8,0)</f>
        <v>0</v>
      </c>
      <c r="E8" s="189">
        <f>IF('Danh muc'!F8="tiền mặt",('Danh muc'!W8+'Danh muc'!X8),0)</f>
        <v>0</v>
      </c>
      <c r="F8" s="190">
        <f>IF('Danh muc'!F8="tiền mặt",'Bảng tính toán'!CF8,0)</f>
        <v>0</v>
      </c>
      <c r="G8" s="191"/>
    </row>
    <row r="9" spans="1:7" s="186" customFormat="1" ht="35.25" hidden="1" customHeight="1">
      <c r="A9" s="185">
        <v>1</v>
      </c>
      <c r="B9" s="187" t="str">
        <f>IF('Danh muc'!F9="tiền mặt",'Danh muc'!B9,"")</f>
        <v/>
      </c>
      <c r="C9" s="188" t="str">
        <f>IF('Danh muc'!F9="tiền mặt",'Danh muc'!C9,"")</f>
        <v/>
      </c>
      <c r="D9" s="189">
        <f>IF('Danh muc'!F9="tiền mặt",'Bảng tính toán'!BO9,0)</f>
        <v>0</v>
      </c>
      <c r="E9" s="189">
        <f>IF('Danh muc'!F9="tiền mặt",('Danh muc'!W9+'Danh muc'!X9),0)</f>
        <v>0</v>
      </c>
      <c r="F9" s="190">
        <f>IF('Danh muc'!F9="tiền mặt",'Bảng tính toán'!CF9,0)</f>
        <v>0</v>
      </c>
      <c r="G9" s="191"/>
    </row>
    <row r="10" spans="1:7" s="186" customFormat="1" ht="35.25" hidden="1" customHeight="1">
      <c r="A10" s="185"/>
      <c r="B10" s="187" t="str">
        <f>IF('Danh muc'!F10="tiền mặt",'Danh muc'!B10,"")</f>
        <v/>
      </c>
      <c r="C10" s="188" t="str">
        <f>IF('Danh muc'!F10="tiền mặt",'Danh muc'!C10,"")</f>
        <v/>
      </c>
      <c r="D10" s="189">
        <f>IF('Danh muc'!F10="tiền mặt",'Bảng tính toán'!BO10,0)</f>
        <v>0</v>
      </c>
      <c r="E10" s="189">
        <f>IF('Danh muc'!F10="tiền mặt",('Danh muc'!W10+'Danh muc'!X10),0)</f>
        <v>0</v>
      </c>
      <c r="F10" s="190">
        <f>IF('Danh muc'!F10="tiền mặt",'Bảng tính toán'!CF10,0)</f>
        <v>0</v>
      </c>
      <c r="G10" s="191"/>
    </row>
    <row r="11" spans="1:7" s="186" customFormat="1" ht="35.25" hidden="1" customHeight="1">
      <c r="A11" s="185">
        <v>2</v>
      </c>
      <c r="B11" s="187" t="str">
        <f>IF('Danh muc'!F11="tiền mặt",'Danh muc'!B11,"")</f>
        <v/>
      </c>
      <c r="C11" s="188" t="str">
        <f>IF('Danh muc'!F11="tiền mặt",'Danh muc'!C11,"")</f>
        <v/>
      </c>
      <c r="D11" s="189">
        <f>IF('Danh muc'!F11="tiền mặt",'Bảng tính toán'!BO11,0)</f>
        <v>0</v>
      </c>
      <c r="E11" s="189">
        <f>IF('Danh muc'!F11="tiền mặt",('Danh muc'!W11+'Danh muc'!X11),0)</f>
        <v>0</v>
      </c>
      <c r="F11" s="190">
        <f>IF('Danh muc'!F11="tiền mặt",'Bảng tính toán'!CF11,0)</f>
        <v>0</v>
      </c>
      <c r="G11" s="191"/>
    </row>
    <row r="12" spans="1:7" s="186" customFormat="1" ht="35.25" hidden="1" customHeight="1">
      <c r="A12" s="185"/>
      <c r="B12" s="187" t="str">
        <f>IF('Danh muc'!F12="tiền mặt",'Danh muc'!B12,"")</f>
        <v/>
      </c>
      <c r="C12" s="188" t="str">
        <f>IF('Danh muc'!F12="tiền mặt",'Danh muc'!C12,"")</f>
        <v/>
      </c>
      <c r="D12" s="189">
        <f>IF('Danh muc'!F12="tiền mặt",'Bảng tính toán'!BO12,0)</f>
        <v>0</v>
      </c>
      <c r="E12" s="189">
        <f>IF('Danh muc'!F12="tiền mặt",('Danh muc'!W12+'Danh muc'!X12),0)</f>
        <v>0</v>
      </c>
      <c r="F12" s="190">
        <f>IF('Danh muc'!F12="tiền mặt",'Bảng tính toán'!CF12,0)</f>
        <v>0</v>
      </c>
      <c r="G12" s="191"/>
    </row>
    <row r="13" spans="1:7" s="186" customFormat="1" ht="35.25" hidden="1" customHeight="1">
      <c r="A13" s="185"/>
      <c r="B13" s="187" t="str">
        <f>IF('Danh muc'!F13="tiền mặt",'Danh muc'!B13,"")</f>
        <v/>
      </c>
      <c r="C13" s="188" t="str">
        <f>IF('Danh muc'!F13="tiền mặt",'Danh muc'!C13,"")</f>
        <v/>
      </c>
      <c r="D13" s="189">
        <f>IF('Danh muc'!F13="tiền mặt",'Bảng tính toán'!BO13,0)</f>
        <v>0</v>
      </c>
      <c r="E13" s="189">
        <f>IF('Danh muc'!F13="tiền mặt",('Danh muc'!W13+'Danh muc'!X13),0)</f>
        <v>0</v>
      </c>
      <c r="F13" s="190">
        <f>IF('Danh muc'!F13="tiền mặt",'Bảng tính toán'!CF13,0)</f>
        <v>0</v>
      </c>
      <c r="G13" s="191"/>
    </row>
    <row r="14" spans="1:7" s="186" customFormat="1" ht="35.25" hidden="1" customHeight="1">
      <c r="A14" s="185"/>
      <c r="B14" s="187" t="str">
        <f>IF('Danh muc'!F14="tiền mặt",'Danh muc'!B14,"")</f>
        <v/>
      </c>
      <c r="C14" s="188" t="str">
        <f>IF('Danh muc'!F14="tiền mặt",'Danh muc'!C14,"")</f>
        <v/>
      </c>
      <c r="D14" s="189">
        <f>IF('Danh muc'!F14="tiền mặt",'Bảng tính toán'!BO14,0)</f>
        <v>0</v>
      </c>
      <c r="E14" s="189">
        <f>IF('Danh muc'!F14="tiền mặt",('Danh muc'!W14+'Danh muc'!X14),0)</f>
        <v>0</v>
      </c>
      <c r="F14" s="190">
        <f>IF('Danh muc'!F14="tiền mặt",'Bảng tính toán'!CF14,0)</f>
        <v>0</v>
      </c>
      <c r="G14" s="191"/>
    </row>
    <row r="15" spans="1:7" s="186" customFormat="1" ht="35.25" hidden="1" customHeight="1">
      <c r="A15" s="185"/>
      <c r="B15" s="187" t="str">
        <f>IF('Danh muc'!F15="tiền mặt",'Danh muc'!B15,"")</f>
        <v/>
      </c>
      <c r="C15" s="188" t="str">
        <f>IF('Danh muc'!F15="tiền mặt",'Danh muc'!C15,"")</f>
        <v/>
      </c>
      <c r="D15" s="189">
        <f>IF('Danh muc'!F15="tiền mặt",'Bảng tính toán'!BO15,0)</f>
        <v>0</v>
      </c>
      <c r="E15" s="189">
        <f>IF('Danh muc'!F15="tiền mặt",('Danh muc'!W15+'Danh muc'!X15),0)</f>
        <v>0</v>
      </c>
      <c r="F15" s="190">
        <f>IF('Danh muc'!F15="tiền mặt",'Bảng tính toán'!CF15,0)</f>
        <v>0</v>
      </c>
      <c r="G15" s="191"/>
    </row>
    <row r="16" spans="1:7" s="186" customFormat="1" ht="35.25" hidden="1" customHeight="1">
      <c r="A16" s="185"/>
      <c r="B16" s="187" t="str">
        <f>IF('Danh muc'!F16="tiền mặt",'Danh muc'!B16,"")</f>
        <v/>
      </c>
      <c r="C16" s="188" t="str">
        <f>IF('Danh muc'!F16="tiền mặt",'Danh muc'!C16,"")</f>
        <v/>
      </c>
      <c r="D16" s="189">
        <f>IF('Danh muc'!F16="tiền mặt",'Bảng tính toán'!BO16,0)</f>
        <v>0</v>
      </c>
      <c r="E16" s="189">
        <f>IF('Danh muc'!F16="tiền mặt",('Danh muc'!W16+'Danh muc'!X16),0)</f>
        <v>0</v>
      </c>
      <c r="F16" s="190">
        <f>IF('Danh muc'!F16="tiền mặt",'Bảng tính toán'!CF16,0)</f>
        <v>0</v>
      </c>
      <c r="G16" s="191"/>
    </row>
    <row r="17" spans="1:7" s="186" customFormat="1" ht="35.25" hidden="1" customHeight="1">
      <c r="A17" s="185"/>
      <c r="B17" s="187" t="str">
        <f>IF('Danh muc'!F17="tiền mặt",'Danh muc'!B17,"")</f>
        <v/>
      </c>
      <c r="C17" s="188" t="str">
        <f>IF('Danh muc'!F17="tiền mặt",'Danh muc'!C17,"")</f>
        <v/>
      </c>
      <c r="D17" s="189">
        <f>IF('Danh muc'!F17="tiền mặt",'Bảng tính toán'!BO17,0)</f>
        <v>0</v>
      </c>
      <c r="E17" s="189">
        <f>IF('Danh muc'!F17="tiền mặt",('Danh muc'!W17+'Danh muc'!X17),0)</f>
        <v>0</v>
      </c>
      <c r="F17" s="190">
        <f>IF('Danh muc'!F17="tiền mặt",'Bảng tính toán'!CF17,0)</f>
        <v>0</v>
      </c>
      <c r="G17" s="191"/>
    </row>
    <row r="18" spans="1:7" s="186" customFormat="1" ht="35.25" hidden="1" customHeight="1">
      <c r="A18" s="185"/>
      <c r="B18" s="187" t="str">
        <f>IF('Danh muc'!F18="tiền mặt",'Danh muc'!B18,"")</f>
        <v/>
      </c>
      <c r="C18" s="188" t="str">
        <f>IF('Danh muc'!F18="tiền mặt",'Danh muc'!C18,"")</f>
        <v/>
      </c>
      <c r="D18" s="189">
        <f>IF('Danh muc'!F18="tiền mặt",'Bảng tính toán'!BO18,0)</f>
        <v>0</v>
      </c>
      <c r="E18" s="189">
        <f>IF('Danh muc'!F18="tiền mặt",('Danh muc'!W18+'Danh muc'!X18),0)</f>
        <v>0</v>
      </c>
      <c r="F18" s="190">
        <f>IF('Danh muc'!F18="tiền mặt",'Bảng tính toán'!CF18,0)</f>
        <v>0</v>
      </c>
      <c r="G18" s="191"/>
    </row>
    <row r="19" spans="1:7" s="186" customFormat="1" ht="35.25" hidden="1" customHeight="1">
      <c r="A19" s="185"/>
      <c r="B19" s="187" t="str">
        <f>IF('Danh muc'!F19="tiền mặt",'Danh muc'!B19,"")</f>
        <v/>
      </c>
      <c r="C19" s="188" t="str">
        <f>IF('Danh muc'!F19="tiền mặt",'Danh muc'!C19,"")</f>
        <v/>
      </c>
      <c r="D19" s="189">
        <f>IF('Danh muc'!F19="tiền mặt",'Bảng tính toán'!BO19,0)</f>
        <v>0</v>
      </c>
      <c r="E19" s="189">
        <f>IF('Danh muc'!F19="tiền mặt",('Danh muc'!W19+'Danh muc'!X19),0)</f>
        <v>0</v>
      </c>
      <c r="F19" s="190">
        <f>IF('Danh muc'!F19="tiền mặt",'Bảng tính toán'!CF19,0)</f>
        <v>0</v>
      </c>
      <c r="G19" s="191"/>
    </row>
    <row r="20" spans="1:7" s="186" customFormat="1" ht="35.25" hidden="1" customHeight="1">
      <c r="A20" s="185"/>
      <c r="B20" s="187" t="str">
        <f>IF('Danh muc'!F20="tiền mặt",'Danh muc'!B20,"")</f>
        <v/>
      </c>
      <c r="C20" s="188" t="str">
        <f>IF('Danh muc'!F20="tiền mặt",'Danh muc'!C20,"")</f>
        <v/>
      </c>
      <c r="D20" s="189">
        <f>IF('Danh muc'!F20="tiền mặt",'Bảng tính toán'!BO20,0)</f>
        <v>0</v>
      </c>
      <c r="E20" s="189">
        <f>IF('Danh muc'!F20="tiền mặt",('Danh muc'!W20+'Danh muc'!X20),0)</f>
        <v>0</v>
      </c>
      <c r="F20" s="190">
        <f>IF('Danh muc'!F20="tiền mặt",'Bảng tính toán'!CF20,0)</f>
        <v>0</v>
      </c>
      <c r="G20" s="191"/>
    </row>
    <row r="21" spans="1:7" s="186" customFormat="1" ht="35.25" hidden="1" customHeight="1">
      <c r="A21" s="185"/>
      <c r="B21" s="187" t="str">
        <f>IF('Danh muc'!F21="tiền mặt",'Danh muc'!B21,"")</f>
        <v/>
      </c>
      <c r="C21" s="188" t="str">
        <f>IF('Danh muc'!F21="tiền mặt",'Danh muc'!C21,"")</f>
        <v/>
      </c>
      <c r="D21" s="189">
        <f>IF('Danh muc'!F21="tiền mặt",'Bảng tính toán'!BO21,0)</f>
        <v>0</v>
      </c>
      <c r="E21" s="189">
        <f>IF('Danh muc'!F21="tiền mặt",('Danh muc'!W21+'Danh muc'!X21),0)</f>
        <v>0</v>
      </c>
      <c r="F21" s="190">
        <f>IF('Danh muc'!F21="tiền mặt",'Bảng tính toán'!CF21,0)</f>
        <v>0</v>
      </c>
      <c r="G21" s="191"/>
    </row>
    <row r="22" spans="1:7" s="186" customFormat="1" ht="35.25" hidden="1" customHeight="1">
      <c r="A22" s="185"/>
      <c r="B22" s="187" t="str">
        <f>IF('Danh muc'!F22="tiền mặt",'Danh muc'!B22,"")</f>
        <v/>
      </c>
      <c r="C22" s="188" t="str">
        <f>IF('Danh muc'!F22="tiền mặt",'Danh muc'!C22,"")</f>
        <v/>
      </c>
      <c r="D22" s="189">
        <f>IF('Danh muc'!F22="tiền mặt",'Bảng tính toán'!BO22,0)</f>
        <v>0</v>
      </c>
      <c r="E22" s="189">
        <f>IF('Danh muc'!F22="tiền mặt",('Danh muc'!W22+'Danh muc'!X22),0)</f>
        <v>0</v>
      </c>
      <c r="F22" s="190">
        <f>IF('Danh muc'!F22="tiền mặt",'Bảng tính toán'!CF22,0)</f>
        <v>0</v>
      </c>
      <c r="G22" s="191"/>
    </row>
    <row r="23" spans="1:7" s="186" customFormat="1" ht="35.25" hidden="1" customHeight="1">
      <c r="A23" s="185">
        <v>1</v>
      </c>
      <c r="B23" s="187" t="str">
        <f>IF('Danh muc'!F23="tiền mặt",'Danh muc'!B23,"")</f>
        <v/>
      </c>
      <c r="C23" s="188" t="str">
        <f>IF('Danh muc'!F23="tiền mặt",'Danh muc'!C23,"")</f>
        <v/>
      </c>
      <c r="D23" s="189">
        <f>IF('Danh muc'!F23="tiền mặt",'Bảng tính toán'!BO23,0)</f>
        <v>0</v>
      </c>
      <c r="E23" s="189">
        <f>IF('Danh muc'!F23="tiền mặt",('Danh muc'!W23+'Danh muc'!X23),0)</f>
        <v>0</v>
      </c>
      <c r="F23" s="190">
        <f>IF('Danh muc'!F23="tiền mặt",'Bảng tính toán'!CF23,0)</f>
        <v>0</v>
      </c>
      <c r="G23" s="191"/>
    </row>
    <row r="24" spans="1:7" s="186" customFormat="1" ht="35.25" hidden="1" customHeight="1">
      <c r="A24" s="185"/>
      <c r="B24" s="187" t="str">
        <f>IF('Danh muc'!F24="tiền mặt",'Danh muc'!B24,"")</f>
        <v/>
      </c>
      <c r="C24" s="188" t="str">
        <f>IF('Danh muc'!F24="tiền mặt",'Danh muc'!C24,"")</f>
        <v/>
      </c>
      <c r="D24" s="189">
        <f>IF('Danh muc'!F24="tiền mặt",'Bảng tính toán'!BO24,0)</f>
        <v>0</v>
      </c>
      <c r="E24" s="189">
        <f>IF('Danh muc'!F24="tiền mặt",('Danh muc'!W24+'Danh muc'!X24),0)</f>
        <v>0</v>
      </c>
      <c r="F24" s="190">
        <f>IF('Danh muc'!F24="tiền mặt",'Bảng tính toán'!CF24,0)</f>
        <v>0</v>
      </c>
      <c r="G24" s="191"/>
    </row>
    <row r="25" spans="1:7" s="186" customFormat="1" ht="35.25" hidden="1" customHeight="1">
      <c r="A25" s="185"/>
      <c r="B25" s="187" t="str">
        <f>IF('Danh muc'!F25="tiền mặt",'Danh muc'!B25,"")</f>
        <v/>
      </c>
      <c r="C25" s="188" t="str">
        <f>IF('Danh muc'!F25="tiền mặt",'Danh muc'!C25,"")</f>
        <v/>
      </c>
      <c r="D25" s="189">
        <f>IF('Danh muc'!F25="tiền mặt",'Bảng tính toán'!BO25,0)</f>
        <v>0</v>
      </c>
      <c r="E25" s="189">
        <f>IF('Danh muc'!F25="tiền mặt",('Danh muc'!W25+'Danh muc'!X25),0)</f>
        <v>0</v>
      </c>
      <c r="F25" s="190">
        <f>IF('Danh muc'!F25="tiền mặt",'Bảng tính toán'!CF25,0)</f>
        <v>0</v>
      </c>
      <c r="G25" s="191"/>
    </row>
    <row r="26" spans="1:7" s="186" customFormat="1" ht="35.25" hidden="1" customHeight="1">
      <c r="A26" s="185"/>
      <c r="B26" s="187" t="str">
        <f>IF('Danh muc'!F26="tiền mặt",'Danh muc'!B26,"")</f>
        <v/>
      </c>
      <c r="C26" s="188" t="str">
        <f>IF('Danh muc'!F26="tiền mặt",'Danh muc'!C26,"")</f>
        <v/>
      </c>
      <c r="D26" s="189">
        <f>IF('Danh muc'!F26="tiền mặt",'Bảng tính toán'!BO26,0)</f>
        <v>0</v>
      </c>
      <c r="E26" s="189">
        <f>IF('Danh muc'!F26="tiền mặt",('Danh muc'!W26+'Danh muc'!X26),0)</f>
        <v>0</v>
      </c>
      <c r="F26" s="190">
        <f>IF('Danh muc'!F26="tiền mặt",'Bảng tính toán'!CF26,0)</f>
        <v>0</v>
      </c>
      <c r="G26" s="191"/>
    </row>
    <row r="27" spans="1:7" s="186" customFormat="1" ht="35.25" hidden="1" customHeight="1">
      <c r="A27" s="185"/>
      <c r="B27" s="187" t="str">
        <f>IF('Danh muc'!F27="tiền mặt",'Danh muc'!B27,"")</f>
        <v/>
      </c>
      <c r="C27" s="188" t="str">
        <f>IF('Danh muc'!F27="tiền mặt",'Danh muc'!C27,"")</f>
        <v/>
      </c>
      <c r="D27" s="189">
        <f>IF('Danh muc'!F27="tiền mặt",'Bảng tính toán'!BO27,0)</f>
        <v>0</v>
      </c>
      <c r="E27" s="189">
        <f>IF('Danh muc'!F27="tiền mặt",('Danh muc'!W27+'Danh muc'!X27),0)</f>
        <v>0</v>
      </c>
      <c r="F27" s="190">
        <f>IF('Danh muc'!F27="tiền mặt",'Bảng tính toán'!CF27,0)</f>
        <v>0</v>
      </c>
      <c r="G27" s="191"/>
    </row>
    <row r="28" spans="1:7" s="186" customFormat="1" ht="35.25" hidden="1" customHeight="1">
      <c r="A28" s="185">
        <v>1</v>
      </c>
      <c r="B28" s="187" t="str">
        <f>IF('Danh muc'!F28="tiền mặt",'Danh muc'!B28,"")</f>
        <v/>
      </c>
      <c r="C28" s="188" t="str">
        <f>IF('Danh muc'!F28="tiền mặt",'Danh muc'!C28,"")</f>
        <v/>
      </c>
      <c r="D28" s="189">
        <f>IF('Danh muc'!F28="tiền mặt",'Bảng tính toán'!BO28,0)</f>
        <v>0</v>
      </c>
      <c r="E28" s="189">
        <f>IF('Danh muc'!F28="tiền mặt",('Danh muc'!W28+'Danh muc'!X28),0)</f>
        <v>0</v>
      </c>
      <c r="F28" s="190">
        <f>IF('Danh muc'!F28="tiền mặt",'Bảng tính toán'!CF28,0)</f>
        <v>0</v>
      </c>
      <c r="G28" s="191"/>
    </row>
    <row r="29" spans="1:7" s="186" customFormat="1" ht="35.25" hidden="1" customHeight="1">
      <c r="A29" s="185">
        <v>3</v>
      </c>
      <c r="B29" s="187" t="str">
        <f>IF('Danh muc'!F29="tiền mặt",'Danh muc'!B29,"")</f>
        <v/>
      </c>
      <c r="C29" s="188" t="str">
        <f>IF('Danh muc'!F29="tiền mặt",'Danh muc'!C29,"")</f>
        <v/>
      </c>
      <c r="D29" s="189">
        <f>IF('Danh muc'!F29="tiền mặt",'Bảng tính toán'!BO29,0)</f>
        <v>0</v>
      </c>
      <c r="E29" s="189">
        <f>IF('Danh muc'!F29="tiền mặt",('Danh muc'!W29+'Danh muc'!X29),0)</f>
        <v>0</v>
      </c>
      <c r="F29" s="190">
        <f>IF('Danh muc'!F29="tiền mặt",'Bảng tính toán'!CF29,0)</f>
        <v>0</v>
      </c>
      <c r="G29" s="191"/>
    </row>
    <row r="30" spans="1:7" s="186" customFormat="1" ht="35.25" hidden="1" customHeight="1">
      <c r="A30" s="185"/>
      <c r="B30" s="187" t="str">
        <f>IF('Danh muc'!F30="tiền mặt",'Danh muc'!B30,"")</f>
        <v/>
      </c>
      <c r="C30" s="188" t="str">
        <f>IF('Danh muc'!F30="tiền mặt",'Danh muc'!C30,"")</f>
        <v/>
      </c>
      <c r="D30" s="189">
        <f>IF('Danh muc'!F30="tiền mặt",'Bảng tính toán'!BO30,0)</f>
        <v>0</v>
      </c>
      <c r="E30" s="189">
        <f>IF('Danh muc'!F30="tiền mặt",('Danh muc'!W30+'Danh muc'!X30),0)</f>
        <v>0</v>
      </c>
      <c r="F30" s="190">
        <f>IF('Danh muc'!F30="tiền mặt",'Bảng tính toán'!CF30,0)</f>
        <v>0</v>
      </c>
      <c r="G30" s="191"/>
    </row>
    <row r="31" spans="1:7" s="186" customFormat="1" ht="35.25" hidden="1" customHeight="1">
      <c r="A31" s="185">
        <v>3</v>
      </c>
      <c r="B31" s="187" t="str">
        <f>IF('Danh muc'!F31="tiền mặt",'Danh muc'!B31,"")</f>
        <v/>
      </c>
      <c r="C31" s="188" t="str">
        <f>IF('Danh muc'!F31="tiền mặt",'Danh muc'!C31,"")</f>
        <v/>
      </c>
      <c r="D31" s="189">
        <f>IF('Danh muc'!F31="tiền mặt",'Bảng tính toán'!BO31,0)</f>
        <v>0</v>
      </c>
      <c r="E31" s="189">
        <f>IF('Danh muc'!F31="tiền mặt",('Danh muc'!W31+'Danh muc'!X31),0)</f>
        <v>0</v>
      </c>
      <c r="F31" s="190">
        <f>IF('Danh muc'!F31="tiền mặt",'Bảng tính toán'!CF31,0)</f>
        <v>0</v>
      </c>
      <c r="G31" s="191"/>
    </row>
    <row r="32" spans="1:7" s="186" customFormat="1" ht="35.25" hidden="1" customHeight="1">
      <c r="A32" s="185">
        <v>2</v>
      </c>
      <c r="B32" s="187" t="str">
        <f>IF('Danh muc'!F32="tiền mặt",'Danh muc'!B32,"")</f>
        <v/>
      </c>
      <c r="C32" s="188" t="str">
        <f>IF('Danh muc'!F32="tiền mặt",'Danh muc'!C32,"")</f>
        <v/>
      </c>
      <c r="D32" s="189">
        <f>IF('Danh muc'!F32="tiền mặt",'Bảng tính toán'!BO32,0)</f>
        <v>0</v>
      </c>
      <c r="E32" s="189">
        <f>IF('Danh muc'!F32="tiền mặt",('Danh muc'!W32+'Danh muc'!X32),0)</f>
        <v>0</v>
      </c>
      <c r="F32" s="190">
        <f>IF('Danh muc'!F32="tiền mặt",'Bảng tính toán'!CF32,0)</f>
        <v>0</v>
      </c>
      <c r="G32" s="191"/>
    </row>
    <row r="33" spans="1:7" s="186" customFormat="1" ht="35.25" hidden="1" customHeight="1">
      <c r="A33" s="185">
        <v>1</v>
      </c>
      <c r="B33" s="187" t="str">
        <f>IF('Danh muc'!F33="tiền mặt",'Danh muc'!B33,"")</f>
        <v/>
      </c>
      <c r="C33" s="188" t="str">
        <f>IF('Danh muc'!F33="tiền mặt",'Danh muc'!C33,"")</f>
        <v/>
      </c>
      <c r="D33" s="189">
        <f>IF('Danh muc'!F33="tiền mặt",'Bảng tính toán'!BO33,0)</f>
        <v>0</v>
      </c>
      <c r="E33" s="189">
        <f>IF('Danh muc'!F33="tiền mặt",('Danh muc'!W33+'Danh muc'!X33),0)</f>
        <v>0</v>
      </c>
      <c r="F33" s="190">
        <f>IF('Danh muc'!F33="tiền mặt",'Bảng tính toán'!CF33,0)</f>
        <v>0</v>
      </c>
      <c r="G33" s="191"/>
    </row>
    <row r="34" spans="1:7" s="186" customFormat="1" ht="35.25" hidden="1" customHeight="1">
      <c r="A34" s="185"/>
      <c r="B34" s="187" t="str">
        <f>IF('Danh muc'!F34="tiền mặt",'Danh muc'!B34,"")</f>
        <v/>
      </c>
      <c r="C34" s="188" t="str">
        <f>IF('Danh muc'!F34="tiền mặt",'Danh muc'!C34,"")</f>
        <v/>
      </c>
      <c r="D34" s="189">
        <f>IF('Danh muc'!F34="tiền mặt",'Bảng tính toán'!BO34,0)</f>
        <v>0</v>
      </c>
      <c r="E34" s="189">
        <f>IF('Danh muc'!F34="tiền mặt",('Danh muc'!W34+'Danh muc'!X34),0)</f>
        <v>0</v>
      </c>
      <c r="F34" s="190">
        <f>IF('Danh muc'!F34="tiền mặt",'Bảng tính toán'!CF34,0)</f>
        <v>0</v>
      </c>
      <c r="G34" s="191"/>
    </row>
    <row r="35" spans="1:7" s="186" customFormat="1" ht="35.25" hidden="1" customHeight="1">
      <c r="A35" s="185"/>
      <c r="B35" s="187" t="str">
        <f>IF('Danh muc'!F35="tiền mặt",'Danh muc'!B35,"")</f>
        <v/>
      </c>
      <c r="C35" s="188" t="str">
        <f>IF('Danh muc'!F35="tiền mặt",'Danh muc'!C35,"")</f>
        <v/>
      </c>
      <c r="D35" s="189">
        <f>IF('Danh muc'!F35="tiền mặt",'Bảng tính toán'!BO35,0)</f>
        <v>0</v>
      </c>
      <c r="E35" s="189">
        <f>IF('Danh muc'!F35="tiền mặt",('Danh muc'!W35+'Danh muc'!X35),0)</f>
        <v>0</v>
      </c>
      <c r="F35" s="190">
        <f>IF('Danh muc'!F35="tiền mặt",'Bảng tính toán'!CF35,0)</f>
        <v>0</v>
      </c>
      <c r="G35" s="191"/>
    </row>
    <row r="36" spans="1:7" s="186" customFormat="1" ht="35.25" hidden="1" customHeight="1">
      <c r="A36" s="185">
        <v>4</v>
      </c>
      <c r="B36" s="187" t="str">
        <f>IF('Danh muc'!F36="tiền mặt",'Danh muc'!B36,"")</f>
        <v/>
      </c>
      <c r="C36" s="188" t="str">
        <f>IF('Danh muc'!F36="tiền mặt",'Danh muc'!C36,"")</f>
        <v/>
      </c>
      <c r="D36" s="189">
        <f>IF('Danh muc'!F36="tiền mặt",'Bảng tính toán'!BO36,0)</f>
        <v>0</v>
      </c>
      <c r="E36" s="189">
        <f>IF('Danh muc'!F36="tiền mặt",('Danh muc'!W36+'Danh muc'!X36),0)</f>
        <v>0</v>
      </c>
      <c r="F36" s="190">
        <f>IF('Danh muc'!F36="tiền mặt",'Bảng tính toán'!CF36,0)</f>
        <v>0</v>
      </c>
      <c r="G36" s="191"/>
    </row>
    <row r="37" spans="1:7" s="186" customFormat="1" ht="35.25" hidden="1" customHeight="1">
      <c r="A37" s="185"/>
      <c r="B37" s="187" t="str">
        <f>IF('Danh muc'!F37="tiền mặt",'Danh muc'!B37,"")</f>
        <v/>
      </c>
      <c r="C37" s="188" t="str">
        <f>IF('Danh muc'!F37="tiền mặt",'Danh muc'!C37,"")</f>
        <v/>
      </c>
      <c r="D37" s="189">
        <f>IF('Danh muc'!F37="tiền mặt",'Bảng tính toán'!BO37,0)</f>
        <v>0</v>
      </c>
      <c r="E37" s="189">
        <f>IF('Danh muc'!F37="tiền mặt",('Danh muc'!W37+'Danh muc'!X37),0)</f>
        <v>0</v>
      </c>
      <c r="F37" s="190">
        <f>IF('Danh muc'!F37="tiền mặt",'Bảng tính toán'!CF37,0)</f>
        <v>0</v>
      </c>
      <c r="G37" s="191"/>
    </row>
    <row r="38" spans="1:7" s="186" customFormat="1" ht="35.25" hidden="1" customHeight="1">
      <c r="A38" s="185">
        <v>5</v>
      </c>
      <c r="B38" s="187" t="str">
        <f>IF('Danh muc'!F38="tiền mặt",'Danh muc'!B38,"")</f>
        <v/>
      </c>
      <c r="C38" s="188" t="str">
        <f>IF('Danh muc'!F38="tiền mặt",'Danh muc'!C38,"")</f>
        <v/>
      </c>
      <c r="D38" s="189">
        <f>IF('Danh muc'!F38="tiền mặt",'Bảng tính toán'!BO38,0)</f>
        <v>0</v>
      </c>
      <c r="E38" s="189">
        <f>IF('Danh muc'!F38="tiền mặt",('Danh muc'!W38+'Danh muc'!X38),0)</f>
        <v>0</v>
      </c>
      <c r="F38" s="190">
        <f>IF('Danh muc'!F38="tiền mặt",'Bảng tính toán'!CF38,0)</f>
        <v>0</v>
      </c>
      <c r="G38" s="191"/>
    </row>
    <row r="39" spans="1:7" s="186" customFormat="1" ht="35.25" hidden="1" customHeight="1">
      <c r="A39" s="185"/>
      <c r="B39" s="187" t="str">
        <f>IF('Danh muc'!F39="tiền mặt",'Danh muc'!B39,"")</f>
        <v/>
      </c>
      <c r="C39" s="188" t="str">
        <f>IF('Danh muc'!F39="tiền mặt",'Danh muc'!C39,"")</f>
        <v/>
      </c>
      <c r="D39" s="189">
        <f>IF('Danh muc'!F39="tiền mặt",'Bảng tính toán'!BO39,0)</f>
        <v>0</v>
      </c>
      <c r="E39" s="189">
        <f>IF('Danh muc'!F39="tiền mặt",('Danh muc'!W39+'Danh muc'!X39),0)</f>
        <v>0</v>
      </c>
      <c r="F39" s="190">
        <f>IF('Danh muc'!F39="tiền mặt",'Bảng tính toán'!CF39,0)</f>
        <v>0</v>
      </c>
      <c r="G39" s="191"/>
    </row>
    <row r="40" spans="1:7" s="186" customFormat="1" ht="35.25" hidden="1" customHeight="1">
      <c r="A40" s="185"/>
      <c r="B40" s="187" t="str">
        <f>IF('Danh muc'!F40="tiền mặt",'Danh muc'!B40,"")</f>
        <v/>
      </c>
      <c r="C40" s="188" t="str">
        <f>IF('Danh muc'!F40="tiền mặt",'Danh muc'!C40,"")</f>
        <v/>
      </c>
      <c r="D40" s="189">
        <f>IF('Danh muc'!F40="tiền mặt",'Bảng tính toán'!BO40,0)</f>
        <v>0</v>
      </c>
      <c r="E40" s="189">
        <f>IF('Danh muc'!F40="tiền mặt",('Danh muc'!W40+'Danh muc'!X40),0)</f>
        <v>0</v>
      </c>
      <c r="F40" s="190">
        <f>IF('Danh muc'!F40="tiền mặt",'Bảng tính toán'!CF40,0)</f>
        <v>0</v>
      </c>
      <c r="G40" s="191"/>
    </row>
    <row r="41" spans="1:7" s="186" customFormat="1" ht="35.25" hidden="1" customHeight="1">
      <c r="A41" s="185"/>
      <c r="B41" s="187" t="str">
        <f>IF('Danh muc'!F41="tiền mặt",'Danh muc'!B41,"")</f>
        <v/>
      </c>
      <c r="C41" s="188" t="str">
        <f>IF('Danh muc'!F41="tiền mặt",'Danh muc'!C41,"")</f>
        <v/>
      </c>
      <c r="D41" s="189">
        <f>IF('Danh muc'!F41="tiền mặt",'Bảng tính toán'!BO41,0)</f>
        <v>0</v>
      </c>
      <c r="E41" s="189">
        <f>IF('Danh muc'!F41="tiền mặt",('Danh muc'!W41+'Danh muc'!X41),0)</f>
        <v>0</v>
      </c>
      <c r="F41" s="190">
        <f>IF('Danh muc'!F41="tiền mặt",'Bảng tính toán'!CF41,0)</f>
        <v>0</v>
      </c>
      <c r="G41" s="191"/>
    </row>
    <row r="42" spans="1:7" s="186" customFormat="1" ht="35.25" hidden="1" customHeight="1">
      <c r="A42" s="185">
        <v>6</v>
      </c>
      <c r="B42" s="187" t="str">
        <f>IF('Danh muc'!F42="tiền mặt",'Danh muc'!B42,"")</f>
        <v/>
      </c>
      <c r="C42" s="188" t="str">
        <f>IF('Danh muc'!F42="tiền mặt",'Danh muc'!C42,"")</f>
        <v/>
      </c>
      <c r="D42" s="189">
        <f>IF('Danh muc'!F42="tiền mặt",'Bảng tính toán'!BO42,0)</f>
        <v>0</v>
      </c>
      <c r="E42" s="189">
        <f>IF('Danh muc'!F42="tiền mặt",('Danh muc'!W42+'Danh muc'!X42),0)</f>
        <v>0</v>
      </c>
      <c r="F42" s="190">
        <f>IF('Danh muc'!F42="tiền mặt",'Bảng tính toán'!CF42,0)</f>
        <v>0</v>
      </c>
      <c r="G42" s="191"/>
    </row>
    <row r="43" spans="1:7" s="186" customFormat="1" ht="35.25" hidden="1" customHeight="1">
      <c r="A43" s="185"/>
      <c r="B43" s="187" t="str">
        <f>IF('Danh muc'!F43="tiền mặt",'Danh muc'!B43,"")</f>
        <v/>
      </c>
      <c r="C43" s="188" t="str">
        <f>IF('Danh muc'!F43="tiền mặt",'Danh muc'!C43,"")</f>
        <v/>
      </c>
      <c r="D43" s="189">
        <f>IF('Danh muc'!F43="tiền mặt",'Bảng tính toán'!BO43,0)</f>
        <v>0</v>
      </c>
      <c r="E43" s="189">
        <f>IF('Danh muc'!F43="tiền mặt",('Danh muc'!W43+'Danh muc'!X43),0)</f>
        <v>0</v>
      </c>
      <c r="F43" s="190">
        <f>IF('Danh muc'!F43="tiền mặt",'Bảng tính toán'!CF43,0)</f>
        <v>0</v>
      </c>
      <c r="G43" s="191"/>
    </row>
    <row r="44" spans="1:7" s="186" customFormat="1" ht="35.25" hidden="1" customHeight="1">
      <c r="A44" s="185"/>
      <c r="B44" s="187" t="str">
        <f>IF('Danh muc'!F44="tiền mặt",'Danh muc'!B44,"")</f>
        <v/>
      </c>
      <c r="C44" s="188" t="str">
        <f>IF('Danh muc'!F44="tiền mặt",'Danh muc'!C44,"")</f>
        <v/>
      </c>
      <c r="D44" s="189">
        <f>IF('Danh muc'!F44="tiền mặt",'Bảng tính toán'!BO44,0)</f>
        <v>0</v>
      </c>
      <c r="E44" s="189">
        <f>IF('Danh muc'!F44="tiền mặt",('Danh muc'!W44+'Danh muc'!X44),0)</f>
        <v>0</v>
      </c>
      <c r="F44" s="190">
        <f>IF('Danh muc'!F44="tiền mặt",'Bảng tính toán'!CF44,0)</f>
        <v>0</v>
      </c>
      <c r="G44" s="191"/>
    </row>
    <row r="45" spans="1:7" s="186" customFormat="1" ht="35.25" hidden="1" customHeight="1">
      <c r="A45" s="185">
        <v>1</v>
      </c>
      <c r="B45" s="187" t="str">
        <f>IF('Danh muc'!F45="tiền mặt",'Danh muc'!B45,"")</f>
        <v/>
      </c>
      <c r="C45" s="188" t="str">
        <f>IF('Danh muc'!F45="tiền mặt",'Danh muc'!C45,"")</f>
        <v/>
      </c>
      <c r="D45" s="189">
        <f>IF('Danh muc'!F45="tiền mặt",'Bảng tính toán'!BO45,0)</f>
        <v>0</v>
      </c>
      <c r="E45" s="189">
        <f>IF('Danh muc'!F45="tiền mặt",('Danh muc'!W45+'Danh muc'!X45),0)</f>
        <v>0</v>
      </c>
      <c r="F45" s="190">
        <f>IF('Danh muc'!F45="tiền mặt",'Bảng tính toán'!CF45,0)</f>
        <v>0</v>
      </c>
      <c r="G45" s="191"/>
    </row>
    <row r="46" spans="1:7" s="186" customFormat="1" ht="35.25" hidden="1" customHeight="1">
      <c r="A46" s="185">
        <v>2</v>
      </c>
      <c r="B46" s="187" t="str">
        <f>IF('Danh muc'!F46="tiền mặt",'Danh muc'!B46,"")</f>
        <v/>
      </c>
      <c r="C46" s="188" t="str">
        <f>IF('Danh muc'!F46="tiền mặt",'Danh muc'!C46,"")</f>
        <v/>
      </c>
      <c r="D46" s="189">
        <f>IF('Danh muc'!F46="tiền mặt",'Bảng tính toán'!BO46,0)</f>
        <v>0</v>
      </c>
      <c r="E46" s="189">
        <f>IF('Danh muc'!F46="tiền mặt",('Danh muc'!W46+'Danh muc'!X46),0)</f>
        <v>0</v>
      </c>
      <c r="F46" s="190">
        <f>IF('Danh muc'!F46="tiền mặt",'Bảng tính toán'!CF46,0)</f>
        <v>0</v>
      </c>
      <c r="G46" s="191"/>
    </row>
    <row r="47" spans="1:7" s="186" customFormat="1" ht="35.25" hidden="1" customHeight="1">
      <c r="A47" s="185"/>
      <c r="B47" s="187" t="str">
        <f>IF('Danh muc'!F47="tiền mặt",'Danh muc'!B47,"")</f>
        <v/>
      </c>
      <c r="C47" s="188" t="str">
        <f>IF('Danh muc'!F47="tiền mặt",'Danh muc'!C47,"")</f>
        <v/>
      </c>
      <c r="D47" s="189">
        <f>IF('Danh muc'!F47="tiền mặt",'Bảng tính toán'!BO47,0)</f>
        <v>0</v>
      </c>
      <c r="E47" s="189">
        <f>IF('Danh muc'!F47="tiền mặt",('Danh muc'!W47+'Danh muc'!X47),0)</f>
        <v>0</v>
      </c>
      <c r="F47" s="190">
        <f>IF('Danh muc'!F47="tiền mặt",'Bảng tính toán'!CF47,0)</f>
        <v>0</v>
      </c>
      <c r="G47" s="191"/>
    </row>
    <row r="48" spans="1:7" s="186" customFormat="1" ht="35.25" hidden="1" customHeight="1">
      <c r="A48" s="185">
        <v>3</v>
      </c>
      <c r="B48" s="187" t="str">
        <f>IF('Danh muc'!F48="tiền mặt",'Danh muc'!B48,"")</f>
        <v/>
      </c>
      <c r="C48" s="188" t="str">
        <f>IF('Danh muc'!F48="tiền mặt",'Danh muc'!C48,"")</f>
        <v/>
      </c>
      <c r="D48" s="189">
        <f>IF('Danh muc'!F48="tiền mặt",'Bảng tính toán'!BO48,0)</f>
        <v>0</v>
      </c>
      <c r="E48" s="189">
        <f>IF('Danh muc'!F48="tiền mặt",('Danh muc'!W48+'Danh muc'!X48),0)</f>
        <v>0</v>
      </c>
      <c r="F48" s="190">
        <f>IF('Danh muc'!F48="tiền mặt",'Bảng tính toán'!CF48,0)</f>
        <v>0</v>
      </c>
      <c r="G48" s="191"/>
    </row>
    <row r="49" spans="1:7" s="186" customFormat="1" ht="35.25" hidden="1" customHeight="1">
      <c r="A49" s="185">
        <v>2</v>
      </c>
      <c r="B49" s="187" t="str">
        <f>IF('Danh muc'!F49="tiền mặt",'Danh muc'!B49,"")</f>
        <v/>
      </c>
      <c r="C49" s="188" t="str">
        <f>IF('Danh muc'!F49="tiền mặt",'Danh muc'!C49,"")</f>
        <v/>
      </c>
      <c r="D49" s="189">
        <f>IF('Danh muc'!F49="tiền mặt",'Bảng tính toán'!BO49,0)</f>
        <v>0</v>
      </c>
      <c r="E49" s="189">
        <f>IF('Danh muc'!F49="tiền mặt",('Danh muc'!W49+'Danh muc'!X49),0)</f>
        <v>0</v>
      </c>
      <c r="F49" s="190">
        <f>IF('Danh muc'!F49="tiền mặt",'Bảng tính toán'!CF49,0)</f>
        <v>0</v>
      </c>
      <c r="G49" s="191"/>
    </row>
    <row r="50" spans="1:7" s="186" customFormat="1" ht="35.25" hidden="1" customHeight="1">
      <c r="A50" s="185">
        <v>2</v>
      </c>
      <c r="B50" s="187" t="str">
        <f>IF('Danh muc'!F50="tiền mặt",'Danh muc'!B50,"")</f>
        <v/>
      </c>
      <c r="C50" s="188" t="str">
        <f>IF('Danh muc'!F50="tiền mặt",'Danh muc'!C50,"")</f>
        <v/>
      </c>
      <c r="D50" s="189">
        <f>IF('Danh muc'!F50="tiền mặt",'Bảng tính toán'!BO50,0)</f>
        <v>0</v>
      </c>
      <c r="E50" s="189">
        <f>IF('Danh muc'!F50="tiền mặt",('Danh muc'!W50+'Danh muc'!X50),0)</f>
        <v>0</v>
      </c>
      <c r="F50" s="190">
        <f>IF('Danh muc'!F50="tiền mặt",'Bảng tính toán'!CF50,0)</f>
        <v>0</v>
      </c>
      <c r="G50" s="191"/>
    </row>
    <row r="51" spans="1:7" s="186" customFormat="1" ht="35.25" hidden="1" customHeight="1">
      <c r="A51" s="185">
        <v>4</v>
      </c>
      <c r="B51" s="187" t="str">
        <f>IF('Danh muc'!F51="tiền mặt",'Danh muc'!B51,"")</f>
        <v/>
      </c>
      <c r="C51" s="188" t="str">
        <f>IF('Danh muc'!F51="tiền mặt",'Danh muc'!C51,"")</f>
        <v/>
      </c>
      <c r="D51" s="189">
        <f>IF('Danh muc'!F51="tiền mặt",'Bảng tính toán'!BO51,0)</f>
        <v>0</v>
      </c>
      <c r="E51" s="189">
        <f>IF('Danh muc'!F51="tiền mặt",('Danh muc'!W51+'Danh muc'!X51),0)</f>
        <v>0</v>
      </c>
      <c r="F51" s="190">
        <f>IF('Danh muc'!F51="tiền mặt",'Bảng tính toán'!CF51,0)</f>
        <v>0</v>
      </c>
      <c r="G51" s="191"/>
    </row>
    <row r="52" spans="1:7" s="186" customFormat="1" ht="35.25" hidden="1" customHeight="1">
      <c r="A52" s="185">
        <v>5</v>
      </c>
      <c r="B52" s="187" t="str">
        <f>IF('Danh muc'!F52="tiền mặt",'Danh muc'!B52,"")</f>
        <v/>
      </c>
      <c r="C52" s="188" t="str">
        <f>IF('Danh muc'!F52="tiền mặt",'Danh muc'!C52,"")</f>
        <v/>
      </c>
      <c r="D52" s="189">
        <f>IF('Danh muc'!F52="tiền mặt",'Bảng tính toán'!BO52,0)</f>
        <v>0</v>
      </c>
      <c r="E52" s="189">
        <f>IF('Danh muc'!F52="tiền mặt",('Danh muc'!W52+'Danh muc'!X52),0)</f>
        <v>0</v>
      </c>
      <c r="F52" s="190">
        <f>IF('Danh muc'!F52="tiền mặt",'Bảng tính toán'!CF52,0)</f>
        <v>0</v>
      </c>
      <c r="G52" s="191"/>
    </row>
    <row r="53" spans="1:7" s="186" customFormat="1" ht="35.25" hidden="1" customHeight="1">
      <c r="A53" s="185">
        <v>4</v>
      </c>
      <c r="B53" s="187" t="str">
        <f>IF('Danh muc'!F53="tiền mặt",'Danh muc'!B53,"")</f>
        <v/>
      </c>
      <c r="C53" s="188" t="str">
        <f>IF('Danh muc'!F53="tiền mặt",'Danh muc'!C53,"")</f>
        <v/>
      </c>
      <c r="D53" s="189">
        <f>IF('Danh muc'!F53="tiền mặt",'Bảng tính toán'!BO53,0)</f>
        <v>0</v>
      </c>
      <c r="E53" s="189">
        <f>IF('Danh muc'!F53="tiền mặt",('Danh muc'!W53+'Danh muc'!X53),0)</f>
        <v>0</v>
      </c>
      <c r="F53" s="190">
        <f>IF('Danh muc'!F53="tiền mặt",'Bảng tính toán'!CF53,0)</f>
        <v>0</v>
      </c>
      <c r="G53" s="191"/>
    </row>
    <row r="54" spans="1:7" s="186" customFormat="1" ht="35.25" hidden="1" customHeight="1">
      <c r="A54" s="185">
        <v>11</v>
      </c>
      <c r="B54" s="187" t="str">
        <f>IF('Danh muc'!F54="tiền mặt",'Danh muc'!B54,"")</f>
        <v/>
      </c>
      <c r="C54" s="188" t="str">
        <f>IF('Danh muc'!F54="tiền mặt",'Danh muc'!C54,"")</f>
        <v/>
      </c>
      <c r="D54" s="189">
        <f>IF('Danh muc'!F54="tiền mặt",'Bảng tính toán'!BO54,0)</f>
        <v>0</v>
      </c>
      <c r="E54" s="189">
        <f>IF('Danh muc'!F54="tiền mặt",('Danh muc'!W54+'Danh muc'!X54),0)</f>
        <v>0</v>
      </c>
      <c r="F54" s="190">
        <f>IF('Danh muc'!F54="tiền mặt",'Bảng tính toán'!CF54,0)</f>
        <v>0</v>
      </c>
      <c r="G54" s="191"/>
    </row>
    <row r="55" spans="1:7" s="186" customFormat="1" ht="35.25" hidden="1" customHeight="1">
      <c r="A55" s="185">
        <v>12</v>
      </c>
      <c r="B55" s="187" t="str">
        <f>IF('Danh muc'!F55="tiền mặt",'Danh muc'!B55,"")</f>
        <v/>
      </c>
      <c r="C55" s="188" t="str">
        <f>IF('Danh muc'!F55="tiền mặt",'Danh muc'!C55,"")</f>
        <v/>
      </c>
      <c r="D55" s="189">
        <f>IF('Danh muc'!F55="tiền mặt",'Bảng tính toán'!BO55,0)</f>
        <v>0</v>
      </c>
      <c r="E55" s="189">
        <f>IF('Danh muc'!F55="tiền mặt",('Danh muc'!W55+'Danh muc'!X55),0)</f>
        <v>0</v>
      </c>
      <c r="F55" s="190">
        <f>IF('Danh muc'!F55="tiền mặt",'Bảng tính toán'!CF55,0)</f>
        <v>0</v>
      </c>
      <c r="G55" s="191"/>
    </row>
    <row r="56" spans="1:7" s="186" customFormat="1" ht="35.25" hidden="1" customHeight="1">
      <c r="A56" s="185">
        <v>3</v>
      </c>
      <c r="B56" s="187" t="str">
        <f>IF('Danh muc'!F56="tiền mặt",'Danh muc'!B56,"")</f>
        <v/>
      </c>
      <c r="C56" s="188" t="str">
        <f>IF('Danh muc'!F56="tiền mặt",'Danh muc'!C56,"")</f>
        <v/>
      </c>
      <c r="D56" s="189">
        <f>IF('Danh muc'!F56="tiền mặt",'Bảng tính toán'!BO56,0)</f>
        <v>0</v>
      </c>
      <c r="E56" s="189">
        <f>IF('Danh muc'!F56="tiền mặt",('Danh muc'!W56+'Danh muc'!X56),0)</f>
        <v>0</v>
      </c>
      <c r="F56" s="190">
        <f>IF('Danh muc'!F56="tiền mặt",'Bảng tính toán'!CF56,0)</f>
        <v>0</v>
      </c>
      <c r="G56" s="191"/>
    </row>
    <row r="57" spans="1:7" s="186" customFormat="1" ht="35.25" hidden="1" customHeight="1">
      <c r="A57" s="185">
        <v>3</v>
      </c>
      <c r="B57" s="187" t="str">
        <f>IF('Danh muc'!F57="tiền mặt",'Danh muc'!B57,"")</f>
        <v/>
      </c>
      <c r="C57" s="188" t="str">
        <f>IF('Danh muc'!F57="tiền mặt",'Danh muc'!C57,"")</f>
        <v/>
      </c>
      <c r="D57" s="189">
        <f>IF('Danh muc'!F57="tiền mặt",'Bảng tính toán'!BO57,0)</f>
        <v>0</v>
      </c>
      <c r="E57" s="189">
        <f>IF('Danh muc'!F57="tiền mặt",('Danh muc'!W57+'Danh muc'!X57),0)</f>
        <v>0</v>
      </c>
      <c r="F57" s="190">
        <f>IF('Danh muc'!F57="tiền mặt",'Bảng tính toán'!CF57,0)</f>
        <v>0</v>
      </c>
      <c r="G57" s="191"/>
    </row>
    <row r="58" spans="1:7" s="186" customFormat="1" ht="35.25" hidden="1" customHeight="1">
      <c r="A58" s="185">
        <v>4</v>
      </c>
      <c r="B58" s="187" t="str">
        <f>IF('Danh muc'!F58="tiền mặt",'Danh muc'!B58,"")</f>
        <v/>
      </c>
      <c r="C58" s="188" t="str">
        <f>IF('Danh muc'!F58="tiền mặt",'Danh muc'!C58,"")</f>
        <v/>
      </c>
      <c r="D58" s="189">
        <f>IF('Danh muc'!F58="tiền mặt",'Bảng tính toán'!BO58,0)</f>
        <v>0</v>
      </c>
      <c r="E58" s="189">
        <f>IF('Danh muc'!F58="tiền mặt",('Danh muc'!W58+'Danh muc'!X58),0)</f>
        <v>0</v>
      </c>
      <c r="F58" s="190">
        <f>IF('Danh muc'!F58="tiền mặt",'Bảng tính toán'!CF58,0)</f>
        <v>0</v>
      </c>
      <c r="G58" s="191"/>
    </row>
    <row r="59" spans="1:7" s="186" customFormat="1" ht="35.25" hidden="1" customHeight="1">
      <c r="A59" s="185">
        <v>5</v>
      </c>
      <c r="B59" s="187" t="str">
        <f>IF('Danh muc'!F59="tiền mặt",'Danh muc'!B59,"")</f>
        <v/>
      </c>
      <c r="C59" s="188" t="str">
        <f>IF('Danh muc'!F59="tiền mặt",'Danh muc'!C59,"")</f>
        <v/>
      </c>
      <c r="D59" s="189">
        <f>IF('Danh muc'!F59="tiền mặt",'Bảng tính toán'!BO59,0)</f>
        <v>0</v>
      </c>
      <c r="E59" s="189">
        <f>IF('Danh muc'!F59="tiền mặt",('Danh muc'!W59+'Danh muc'!X59),0)</f>
        <v>0</v>
      </c>
      <c r="F59" s="190">
        <f>IF('Danh muc'!F59="tiền mặt",'Bảng tính toán'!CF59,0)</f>
        <v>0</v>
      </c>
      <c r="G59" s="191"/>
    </row>
    <row r="60" spans="1:7" s="186" customFormat="1" ht="35.25" hidden="1" customHeight="1">
      <c r="A60" s="185">
        <v>5</v>
      </c>
      <c r="B60" s="187" t="str">
        <f>IF('Danh muc'!F60="tiền mặt",'Danh muc'!B60,"")</f>
        <v/>
      </c>
      <c r="C60" s="188" t="str">
        <f>IF('Danh muc'!F60="tiền mặt",'Danh muc'!C60,"")</f>
        <v/>
      </c>
      <c r="D60" s="189">
        <f>IF('Danh muc'!F60="tiền mặt",'Bảng tính toán'!BO60,0)</f>
        <v>0</v>
      </c>
      <c r="E60" s="189">
        <f>IF('Danh muc'!F60="tiền mặt",('Danh muc'!W60+'Danh muc'!X60),0)</f>
        <v>0</v>
      </c>
      <c r="F60" s="190">
        <f>IF('Danh muc'!F60="tiền mặt",'Bảng tính toán'!CF60,0)</f>
        <v>0</v>
      </c>
      <c r="G60" s="191"/>
    </row>
    <row r="61" spans="1:7" s="186" customFormat="1" ht="35.25" customHeight="1">
      <c r="A61" s="185">
        <v>1</v>
      </c>
      <c r="B61" s="187" t="str">
        <f>IF('Danh muc'!F61="tiền mặt",'Danh muc'!B61,"")</f>
        <v/>
      </c>
      <c r="C61" s="188" t="str">
        <f>IF('Danh muc'!F61="tiền mặt",'Danh muc'!C61,"")</f>
        <v/>
      </c>
      <c r="D61" s="189">
        <f>IF('Danh muc'!F61="tiền mặt",'Bảng tính toán'!BO61,0)</f>
        <v>0</v>
      </c>
      <c r="E61" s="189">
        <f>IF('Danh muc'!F61="tiền mặt",('Danh muc'!W61+'Danh muc'!X61),0)</f>
        <v>0</v>
      </c>
      <c r="F61" s="190">
        <f>IF('Danh muc'!F61="tiền mặt",'Bảng tính toán'!CF61,0)</f>
        <v>0</v>
      </c>
      <c r="G61" s="191"/>
    </row>
    <row r="62" spans="1:7" s="186" customFormat="1" ht="35.25" customHeight="1">
      <c r="A62" s="185">
        <v>2</v>
      </c>
      <c r="B62" s="187" t="str">
        <f>IF('Danh muc'!F62="tiền mặt",'Danh muc'!B62,"")</f>
        <v/>
      </c>
      <c r="C62" s="188" t="str">
        <f>IF('Danh muc'!F62="tiền mặt",'Danh muc'!C62,"")</f>
        <v/>
      </c>
      <c r="D62" s="189">
        <f>IF('Danh muc'!F62="tiền mặt",'Bảng tính toán'!BO62,0)</f>
        <v>0</v>
      </c>
      <c r="E62" s="189">
        <f>IF('Danh muc'!F62="tiền mặt",('Danh muc'!W62+'Danh muc'!X62),0)</f>
        <v>0</v>
      </c>
      <c r="F62" s="190">
        <f>IF('Danh muc'!F62="tiền mặt",'Bảng tính toán'!CF62,0)</f>
        <v>0</v>
      </c>
      <c r="G62" s="191"/>
    </row>
    <row r="63" spans="1:7" s="186" customFormat="1" ht="35.25" hidden="1" customHeight="1">
      <c r="A63" s="185">
        <v>6</v>
      </c>
      <c r="B63" s="187" t="str">
        <f>IF('Danh muc'!F63="tiền mặt",'Danh muc'!B63,"")</f>
        <v/>
      </c>
      <c r="C63" s="188" t="str">
        <f>IF('Danh muc'!F63="tiền mặt",'Danh muc'!C63,"")</f>
        <v/>
      </c>
      <c r="D63" s="189">
        <f>IF('Danh muc'!F63="tiền mặt",'Bảng tính toán'!BO63,0)</f>
        <v>0</v>
      </c>
      <c r="E63" s="189">
        <f>IF('Danh muc'!F63="tiền mặt",('Danh muc'!W63+'Danh muc'!X63),0)</f>
        <v>0</v>
      </c>
      <c r="F63" s="190">
        <f>IF('Danh muc'!F63="tiền mặt",'Bảng tính toán'!CF63,0)</f>
        <v>0</v>
      </c>
      <c r="G63" s="191"/>
    </row>
    <row r="64" spans="1:7" s="186" customFormat="1" ht="35.25" hidden="1" customHeight="1">
      <c r="A64" s="185">
        <v>21</v>
      </c>
      <c r="B64" s="187" t="str">
        <f>IF('Danh muc'!F64="tiền mặt",'Danh muc'!B64,"")</f>
        <v/>
      </c>
      <c r="C64" s="188" t="str">
        <f>IF('Danh muc'!F64="tiền mặt",'Danh muc'!C64,"")</f>
        <v/>
      </c>
      <c r="D64" s="189">
        <f>IF('Danh muc'!F64="tiền mặt",'Bảng tính toán'!BO64,0)</f>
        <v>0</v>
      </c>
      <c r="E64" s="189">
        <f>IF('Danh muc'!F64="tiền mặt",('Danh muc'!W64+'Danh muc'!X64),0)</f>
        <v>0</v>
      </c>
      <c r="F64" s="190">
        <f>IF('Danh muc'!F64="tiền mặt",'Bảng tính toán'!CF64,0)</f>
        <v>0</v>
      </c>
      <c r="G64" s="191"/>
    </row>
    <row r="65" spans="1:7" s="186" customFormat="1" ht="35.25" hidden="1" customHeight="1">
      <c r="A65" s="185">
        <v>16</v>
      </c>
      <c r="B65" s="187" t="str">
        <f>IF('Danh muc'!F65="tiền mặt",'Danh muc'!B65,"")</f>
        <v/>
      </c>
      <c r="C65" s="188" t="str">
        <f>IF('Danh muc'!F65="tiền mặt",'Danh muc'!C65,"")</f>
        <v/>
      </c>
      <c r="D65" s="189">
        <f>IF('Danh muc'!F65="tiền mặt",'Bảng tính toán'!BO65,0)</f>
        <v>0</v>
      </c>
      <c r="E65" s="189">
        <f>IF('Danh muc'!F65="tiền mặt",('Danh muc'!W65+'Danh muc'!X65),0)</f>
        <v>0</v>
      </c>
      <c r="F65" s="190">
        <f>IF('Danh muc'!F65="tiền mặt",'Bảng tính toán'!CF65,0)</f>
        <v>0</v>
      </c>
      <c r="G65" s="191"/>
    </row>
    <row r="66" spans="1:7" s="186" customFormat="1" ht="35.25" hidden="1" customHeight="1">
      <c r="A66" s="185">
        <v>7</v>
      </c>
      <c r="B66" s="187" t="str">
        <f>IF('Danh muc'!F66="tiền mặt",'Danh muc'!B66,"")</f>
        <v/>
      </c>
      <c r="C66" s="188" t="str">
        <f>IF('Danh muc'!F66="tiền mặt",'Danh muc'!C66,"")</f>
        <v/>
      </c>
      <c r="D66" s="189">
        <f>IF('Danh muc'!F66="tiền mặt",'Bảng tính toán'!BO66,0)</f>
        <v>0</v>
      </c>
      <c r="E66" s="189">
        <f>IF('Danh muc'!F66="tiền mặt",('Danh muc'!W66+'Danh muc'!X66),0)</f>
        <v>0</v>
      </c>
      <c r="F66" s="190">
        <f>IF('Danh muc'!F66="tiền mặt",'Bảng tính toán'!CF66,0)</f>
        <v>0</v>
      </c>
      <c r="G66" s="191"/>
    </row>
    <row r="67" spans="1:7" s="186" customFormat="1" ht="35.25" hidden="1" customHeight="1">
      <c r="A67" s="185">
        <v>8</v>
      </c>
      <c r="B67" s="187" t="str">
        <f>IF('Danh muc'!F67="tiền mặt",'Danh muc'!B67,"")</f>
        <v/>
      </c>
      <c r="C67" s="188" t="str">
        <f>IF('Danh muc'!F67="tiền mặt",'Danh muc'!C67,"")</f>
        <v/>
      </c>
      <c r="D67" s="189">
        <f>IF('Danh muc'!F67="tiền mặt",'Bảng tính toán'!BO67,0)</f>
        <v>0</v>
      </c>
      <c r="E67" s="189">
        <f>IF('Danh muc'!F67="tiền mặt",('Danh muc'!W67+'Danh muc'!X67),0)</f>
        <v>0</v>
      </c>
      <c r="F67" s="190">
        <f>IF('Danh muc'!F67="tiền mặt",'Bảng tính toán'!CF67,0)</f>
        <v>0</v>
      </c>
      <c r="G67" s="191"/>
    </row>
    <row r="68" spans="1:7" s="186" customFormat="1" ht="35.25" hidden="1" customHeight="1">
      <c r="A68" s="185"/>
      <c r="B68" s="187" t="str">
        <f>IF('Danh muc'!F68="tiền mặt",'Danh muc'!B68,"")</f>
        <v/>
      </c>
      <c r="C68" s="188" t="str">
        <f>IF('Danh muc'!F68="tiền mặt",'Danh muc'!C68,"")</f>
        <v/>
      </c>
      <c r="D68" s="189">
        <f>IF('Danh muc'!F68="tiền mặt",'Bảng tính toán'!BO68,0)</f>
        <v>0</v>
      </c>
      <c r="E68" s="189">
        <f>IF('Danh muc'!F68="tiền mặt",('Danh muc'!W68+'Danh muc'!X68),0)</f>
        <v>0</v>
      </c>
      <c r="F68" s="190">
        <f>IF('Danh muc'!F68="tiền mặt",'Bảng tính toán'!CF68,0)</f>
        <v>0</v>
      </c>
      <c r="G68" s="191"/>
    </row>
    <row r="69" spans="1:7" s="186" customFormat="1" ht="35.25" hidden="1" customHeight="1">
      <c r="A69" s="185">
        <v>9</v>
      </c>
      <c r="B69" s="187" t="str">
        <f>IF('Danh muc'!F69="tiền mặt",'Danh muc'!B69,"")</f>
        <v/>
      </c>
      <c r="C69" s="188" t="str">
        <f>IF('Danh muc'!F69="tiền mặt",'Danh muc'!C69,"")</f>
        <v/>
      </c>
      <c r="D69" s="189">
        <f>IF('Danh muc'!F69="tiền mặt",'Bảng tính toán'!BO69,0)</f>
        <v>0</v>
      </c>
      <c r="E69" s="189">
        <f>IF('Danh muc'!F69="tiền mặt",('Danh muc'!W69+'Danh muc'!X69),0)</f>
        <v>0</v>
      </c>
      <c r="F69" s="190">
        <f>IF('Danh muc'!F69="tiền mặt",'Bảng tính toán'!CF69,0)</f>
        <v>0</v>
      </c>
      <c r="G69" s="191"/>
    </row>
    <row r="70" spans="1:7" s="186" customFormat="1" ht="35.25" hidden="1" customHeight="1">
      <c r="A70" s="185"/>
      <c r="B70" s="187" t="str">
        <f>IF('Danh muc'!F70="tiền mặt",'Danh muc'!B70,"")</f>
        <v/>
      </c>
      <c r="C70" s="188" t="str">
        <f>IF('Danh muc'!F70="tiền mặt",'Danh muc'!C70,"")</f>
        <v/>
      </c>
      <c r="D70" s="189">
        <f>IF('Danh muc'!F70="tiền mặt",'Bảng tính toán'!BO70,0)</f>
        <v>0</v>
      </c>
      <c r="E70" s="189">
        <f>IF('Danh muc'!F70="tiền mặt",('Danh muc'!W70+'Danh muc'!X70),0)</f>
        <v>0</v>
      </c>
      <c r="F70" s="190">
        <f>IF('Danh muc'!F70="tiền mặt",'Bảng tính toán'!CF70,0)</f>
        <v>0</v>
      </c>
      <c r="G70" s="191"/>
    </row>
    <row r="71" spans="1:7" s="186" customFormat="1" ht="35.25" hidden="1" customHeight="1">
      <c r="A71" s="185"/>
      <c r="B71" s="187" t="str">
        <f>IF('Danh muc'!F71="tiền mặt",'Danh muc'!B71,"")</f>
        <v/>
      </c>
      <c r="C71" s="188" t="str">
        <f>IF('Danh muc'!F71="tiền mặt",'Danh muc'!C71,"")</f>
        <v/>
      </c>
      <c r="D71" s="189">
        <f>IF('Danh muc'!F71="tiền mặt",'Bảng tính toán'!BO71,0)</f>
        <v>0</v>
      </c>
      <c r="E71" s="189">
        <f>IF('Danh muc'!F71="tiền mặt",('Danh muc'!W71+'Danh muc'!X71),0)</f>
        <v>0</v>
      </c>
      <c r="F71" s="190">
        <f>IF('Danh muc'!F71="tiền mặt",'Bảng tính toán'!CF71,0)</f>
        <v>0</v>
      </c>
      <c r="G71" s="191"/>
    </row>
    <row r="72" spans="1:7" s="186" customFormat="1" ht="35.25" hidden="1" customHeight="1">
      <c r="A72" s="185"/>
      <c r="B72" s="187" t="str">
        <f>IF('Danh muc'!F72="tiền mặt",'Danh muc'!B72,"")</f>
        <v/>
      </c>
      <c r="C72" s="188" t="str">
        <f>IF('Danh muc'!F72="tiền mặt",'Danh muc'!C72,"")</f>
        <v/>
      </c>
      <c r="D72" s="189">
        <f>IF('Danh muc'!F72="tiền mặt",'Bảng tính toán'!BO72,0)</f>
        <v>0</v>
      </c>
      <c r="E72" s="189">
        <f>IF('Danh muc'!F72="tiền mặt",('Danh muc'!W72+'Danh muc'!X72),0)</f>
        <v>0</v>
      </c>
      <c r="F72" s="190">
        <f>IF('Danh muc'!F72="tiền mặt",'Bảng tính toán'!CF72,0)</f>
        <v>0</v>
      </c>
      <c r="G72" s="191"/>
    </row>
    <row r="73" spans="1:7" s="186" customFormat="1" ht="35.25" hidden="1" customHeight="1">
      <c r="A73" s="185"/>
      <c r="B73" s="187" t="str">
        <f>IF('Danh muc'!F73="tiền mặt",'Danh muc'!B73,"")</f>
        <v/>
      </c>
      <c r="C73" s="188" t="str">
        <f>IF('Danh muc'!F73="tiền mặt",'Danh muc'!C73,"")</f>
        <v/>
      </c>
      <c r="D73" s="189">
        <f>IF('Danh muc'!F73="tiền mặt",'Bảng tính toán'!BO73,0)</f>
        <v>0</v>
      </c>
      <c r="E73" s="189">
        <f>IF('Danh muc'!F73="tiền mặt",('Danh muc'!W73+'Danh muc'!X73),0)</f>
        <v>0</v>
      </c>
      <c r="F73" s="190">
        <f>IF('Danh muc'!F73="tiền mặt",'Bảng tính toán'!CF73,0)</f>
        <v>0</v>
      </c>
      <c r="G73" s="191"/>
    </row>
    <row r="74" spans="1:7" s="186" customFormat="1" ht="35.25" customHeight="1">
      <c r="A74" s="523" t="s">
        <v>213</v>
      </c>
      <c r="B74" s="523"/>
      <c r="C74" s="523"/>
      <c r="D74" s="261">
        <f>SUM(D8:D73)</f>
        <v>0</v>
      </c>
      <c r="E74" s="261">
        <f>SUM(E8:E73)</f>
        <v>0</v>
      </c>
      <c r="F74" s="192">
        <f>SUM(F8:F73)</f>
        <v>0</v>
      </c>
      <c r="G74" s="193"/>
    </row>
    <row r="75" spans="1:7" s="186" customFormat="1" ht="38.25" customHeight="1">
      <c r="A75" s="515"/>
      <c r="B75" s="515"/>
      <c r="C75" s="515"/>
      <c r="D75" s="515"/>
      <c r="E75" s="235"/>
      <c r="F75" s="194"/>
    </row>
    <row r="76" spans="1:7" s="186" customFormat="1" ht="21.75">
      <c r="A76" s="514" t="s">
        <v>214</v>
      </c>
      <c r="B76" s="514"/>
      <c r="C76" s="514"/>
      <c r="D76" s="514" t="s">
        <v>272</v>
      </c>
      <c r="E76" s="514"/>
      <c r="F76" s="514"/>
      <c r="G76" s="514"/>
    </row>
    <row r="77" spans="1:7" s="186" customFormat="1" ht="20.25">
      <c r="A77" s="524"/>
      <c r="B77" s="524"/>
      <c r="C77" s="524"/>
      <c r="F77" s="524"/>
      <c r="G77" s="524"/>
    </row>
    <row r="78" spans="1:7" s="186" customFormat="1" ht="20.25"/>
    <row r="81" spans="1:7" ht="31.5">
      <c r="A81" s="522" t="s">
        <v>173</v>
      </c>
      <c r="B81" s="522"/>
      <c r="C81" s="522"/>
      <c r="D81" s="522" t="s">
        <v>2</v>
      </c>
      <c r="E81" s="511"/>
      <c r="F81" s="522"/>
      <c r="G81" s="522"/>
    </row>
  </sheetData>
  <autoFilter ref="A7:G76" xr:uid="{00000000-0009-0000-0000-000006000000}">
    <filterColumn colId="5">
      <filters blank="1">
        <filter val="18,405,000"/>
        <filter val="8,413,000"/>
        <filter val="9,992,000"/>
      </filters>
    </filterColumn>
  </autoFilter>
  <mergeCells count="18">
    <mergeCell ref="A81:C81"/>
    <mergeCell ref="D76:G76"/>
    <mergeCell ref="D81:G81"/>
    <mergeCell ref="A74:C74"/>
    <mergeCell ref="F77:G77"/>
    <mergeCell ref="A75:D75"/>
    <mergeCell ref="A77:C77"/>
    <mergeCell ref="A76:C76"/>
    <mergeCell ref="A3:G3"/>
    <mergeCell ref="A4:G4"/>
    <mergeCell ref="A5:G5"/>
    <mergeCell ref="A6:A7"/>
    <mergeCell ref="B6:B7"/>
    <mergeCell ref="C6:C7"/>
    <mergeCell ref="D6:D7"/>
    <mergeCell ref="E6:E7"/>
    <mergeCell ref="F6:F7"/>
    <mergeCell ref="G6:G7"/>
  </mergeCells>
  <printOptions horizontalCentered="1"/>
  <pageMargins left="0.2" right="0.2" top="0" bottom="0" header="0.3" footer="0.3"/>
  <pageSetup paperSize="9" scale="85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data"/>
  <dimension ref="A1:X2349"/>
  <sheetViews>
    <sheetView zoomScale="90" zoomScaleNormal="90" workbookViewId="0">
      <selection activeCell="D20" sqref="D20"/>
    </sheetView>
  </sheetViews>
  <sheetFormatPr defaultColWidth="8.85546875" defaultRowHeight="19.899999999999999" customHeight="1"/>
  <cols>
    <col min="1" max="1" width="1.7109375" style="91" customWidth="1"/>
    <col min="2" max="2" width="12.85546875" style="227" customWidth="1"/>
    <col min="3" max="3" width="15.85546875" style="221" customWidth="1"/>
    <col min="4" max="4" width="35.140625" style="132" bestFit="1" customWidth="1"/>
    <col min="5" max="5" width="11.7109375" style="133" customWidth="1"/>
    <col min="6" max="6" width="23.140625" style="134" bestFit="1" customWidth="1"/>
    <col min="7" max="7" width="12.42578125" style="135" customWidth="1"/>
    <col min="8" max="8" width="13.140625" style="135" customWidth="1"/>
    <col min="9" max="9" width="12.28515625" style="133" customWidth="1"/>
    <col min="10" max="10" width="11.85546875" style="199" customWidth="1"/>
    <col min="11" max="11" width="11.85546875" style="197" customWidth="1"/>
    <col min="12" max="12" width="11.140625" style="198" customWidth="1"/>
    <col min="13" max="13" width="1.85546875" style="91" customWidth="1"/>
    <col min="14" max="14" width="11.28515625" style="136" bestFit="1" customWidth="1"/>
    <col min="15" max="15" width="18.42578125" style="131" bestFit="1" customWidth="1"/>
    <col min="16" max="16" width="24.5703125" style="132" bestFit="1" customWidth="1"/>
    <col min="17" max="17" width="14.28515625" style="143" bestFit="1" customWidth="1"/>
    <col min="18" max="18" width="8.5703125" style="138" bestFit="1" customWidth="1"/>
    <col min="19" max="19" width="1.85546875" style="139" customWidth="1"/>
    <col min="20" max="20" width="13.42578125" style="144" bestFit="1" customWidth="1"/>
    <col min="21" max="21" width="21" style="141" customWidth="1"/>
    <col min="22" max="22" width="29.5703125" style="142" customWidth="1"/>
    <col min="23" max="24" width="8.85546875" style="91" customWidth="1"/>
    <col min="25" max="16384" width="8.85546875" style="93"/>
  </cols>
  <sheetData>
    <row r="1" spans="2:22" ht="19.899999999999999" customHeight="1">
      <c r="B1" s="557" t="s">
        <v>134</v>
      </c>
      <c r="C1" s="557"/>
      <c r="D1" s="558" t="s">
        <v>221</v>
      </c>
      <c r="E1" s="560" t="s">
        <v>135</v>
      </c>
      <c r="F1" s="560"/>
      <c r="G1" s="561" t="s">
        <v>136</v>
      </c>
      <c r="H1" s="562"/>
      <c r="I1" s="563" t="s">
        <v>137</v>
      </c>
      <c r="J1" s="564"/>
      <c r="K1" s="565" t="s">
        <v>138</v>
      </c>
      <c r="L1" s="566"/>
      <c r="N1" s="545" t="s">
        <v>139</v>
      </c>
      <c r="O1" s="546"/>
      <c r="P1" s="546"/>
      <c r="Q1" s="547"/>
      <c r="R1" s="91"/>
      <c r="S1" s="92"/>
      <c r="T1" s="91"/>
      <c r="U1" s="91"/>
      <c r="V1" s="91"/>
    </row>
    <row r="2" spans="2:22" ht="19.899999999999999" customHeight="1">
      <c r="B2" s="224" t="s">
        <v>140</v>
      </c>
      <c r="C2" s="223">
        <v>45489</v>
      </c>
      <c r="D2" s="559"/>
      <c r="E2" s="209" t="s">
        <v>141</v>
      </c>
      <c r="F2" s="94">
        <v>0.3125</v>
      </c>
      <c r="G2" s="210" t="s">
        <v>141</v>
      </c>
      <c r="H2" s="95">
        <v>0.8125</v>
      </c>
      <c r="I2" s="548" t="s">
        <v>142</v>
      </c>
      <c r="J2" s="549"/>
      <c r="K2" s="550" t="s">
        <v>142</v>
      </c>
      <c r="L2" s="551"/>
      <c r="N2" s="552" t="s">
        <v>142</v>
      </c>
      <c r="O2" s="553"/>
      <c r="P2" s="554" t="s">
        <v>143</v>
      </c>
      <c r="Q2" s="555"/>
      <c r="R2" s="91"/>
      <c r="S2" s="91"/>
      <c r="T2" s="91"/>
      <c r="U2" s="91"/>
      <c r="V2" s="91"/>
    </row>
    <row r="3" spans="2:22" ht="19.899999999999999" customHeight="1">
      <c r="B3" s="224" t="s">
        <v>144</v>
      </c>
      <c r="C3" s="222">
        <v>45519</v>
      </c>
      <c r="D3" s="96">
        <v>8</v>
      </c>
      <c r="E3" s="209" t="s">
        <v>145</v>
      </c>
      <c r="F3" s="94">
        <v>0.8125</v>
      </c>
      <c r="G3" s="210" t="s">
        <v>145</v>
      </c>
      <c r="H3" s="95">
        <v>0.3125</v>
      </c>
      <c r="I3" s="211" t="s">
        <v>146</v>
      </c>
      <c r="J3" s="212" t="s">
        <v>147</v>
      </c>
      <c r="K3" s="213" t="s">
        <v>146</v>
      </c>
      <c r="L3" s="214" t="s">
        <v>147</v>
      </c>
      <c r="N3" s="215" t="s">
        <v>146</v>
      </c>
      <c r="O3" s="216" t="s">
        <v>147</v>
      </c>
      <c r="P3" s="217" t="s">
        <v>146</v>
      </c>
      <c r="Q3" s="218" t="s">
        <v>147</v>
      </c>
      <c r="R3" s="91"/>
      <c r="S3" s="91"/>
      <c r="T3" s="91"/>
      <c r="U3" s="91"/>
      <c r="V3" s="91"/>
    </row>
    <row r="4" spans="2:22" ht="19.899999999999999" customHeight="1">
      <c r="B4" s="225"/>
      <c r="C4" s="219"/>
      <c r="D4" s="97"/>
      <c r="E4" s="98"/>
      <c r="F4" s="99"/>
      <c r="G4" s="99"/>
      <c r="H4" s="99"/>
      <c r="I4" s="100">
        <v>0.39583333333333331</v>
      </c>
      <c r="J4" s="101">
        <v>15</v>
      </c>
      <c r="K4" s="102">
        <v>0.39583333333333331</v>
      </c>
      <c r="L4" s="103">
        <v>5</v>
      </c>
      <c r="N4" s="104">
        <v>0.39583333333333331</v>
      </c>
      <c r="O4" s="105">
        <v>10</v>
      </c>
      <c r="P4" s="106">
        <v>0.89583333333333337</v>
      </c>
      <c r="Q4" s="107">
        <v>10</v>
      </c>
      <c r="R4" s="91"/>
      <c r="S4" s="91"/>
      <c r="T4" s="91"/>
      <c r="U4" s="91"/>
      <c r="V4" s="91"/>
    </row>
    <row r="5" spans="2:22" ht="19.899999999999999" customHeight="1">
      <c r="B5" s="225"/>
      <c r="C5" s="219"/>
      <c r="D5" s="99"/>
      <c r="E5" s="98"/>
      <c r="F5" s="109"/>
      <c r="G5" s="109"/>
      <c r="H5" s="97"/>
      <c r="I5" s="100">
        <v>0.5</v>
      </c>
      <c r="J5" s="101">
        <v>60</v>
      </c>
      <c r="K5" s="102">
        <v>0.47222222222222221</v>
      </c>
      <c r="L5" s="103">
        <v>40</v>
      </c>
      <c r="N5" s="104">
        <v>0.47916666666666669</v>
      </c>
      <c r="O5" s="105">
        <v>30</v>
      </c>
      <c r="P5" s="106">
        <v>0.97916666666666663</v>
      </c>
      <c r="Q5" s="107">
        <v>30</v>
      </c>
      <c r="R5" s="91"/>
      <c r="S5" s="91"/>
      <c r="T5" s="91"/>
      <c r="U5" s="91"/>
      <c r="V5" s="91"/>
    </row>
    <row r="6" spans="2:22" ht="19.899999999999999" customHeight="1">
      <c r="B6" s="225"/>
      <c r="C6" s="219"/>
      <c r="D6" s="91"/>
      <c r="E6" s="98"/>
      <c r="F6" s="109"/>
      <c r="G6" s="109"/>
      <c r="H6" s="110"/>
      <c r="I6" s="100">
        <v>0.60416666666666663</v>
      </c>
      <c r="J6" s="101">
        <v>15</v>
      </c>
      <c r="K6" s="102">
        <v>0.60416666666666663</v>
      </c>
      <c r="L6" s="103">
        <v>5</v>
      </c>
      <c r="N6" s="104">
        <v>0.60416666666666663</v>
      </c>
      <c r="O6" s="105">
        <v>10</v>
      </c>
      <c r="P6" s="106">
        <v>0.60416666666666663</v>
      </c>
      <c r="Q6" s="107">
        <v>10</v>
      </c>
      <c r="R6" s="91"/>
      <c r="S6" s="91"/>
      <c r="T6" s="91"/>
      <c r="U6" s="91"/>
      <c r="V6" s="91"/>
    </row>
    <row r="7" spans="2:22" ht="19.899999999999999" customHeight="1" thickBot="1">
      <c r="B7" s="225"/>
      <c r="C7" s="219"/>
      <c r="D7" s="91"/>
      <c r="E7" s="98"/>
      <c r="F7" s="99"/>
      <c r="G7" s="99"/>
      <c r="H7" s="91"/>
      <c r="I7" s="111"/>
      <c r="J7" s="112"/>
      <c r="K7" s="113">
        <v>0.70833333333333337</v>
      </c>
      <c r="L7" s="114">
        <v>10</v>
      </c>
      <c r="N7" s="115">
        <v>0.70833333333333337</v>
      </c>
      <c r="O7" s="116">
        <v>10</v>
      </c>
      <c r="P7" s="117">
        <v>0.20833333333333334</v>
      </c>
      <c r="Q7" s="118">
        <v>10</v>
      </c>
      <c r="R7" s="91"/>
      <c r="S7" s="91"/>
      <c r="T7" s="91"/>
      <c r="U7" s="91"/>
      <c r="V7" s="91"/>
    </row>
    <row r="8" spans="2:22" ht="19.899999999999999" customHeight="1" thickBot="1">
      <c r="B8" s="556" t="s">
        <v>148</v>
      </c>
      <c r="C8" s="556"/>
      <c r="D8" s="556"/>
      <c r="E8" s="556"/>
      <c r="F8" s="556"/>
      <c r="G8" s="556"/>
      <c r="H8" s="556"/>
      <c r="I8" s="556"/>
      <c r="J8" s="556"/>
      <c r="K8" s="556"/>
      <c r="L8" s="556"/>
      <c r="N8" s="108"/>
      <c r="O8" s="91"/>
      <c r="P8" s="91"/>
      <c r="Q8" s="91"/>
      <c r="R8" s="91"/>
      <c r="S8" s="92"/>
      <c r="T8" s="91"/>
      <c r="U8" s="91"/>
      <c r="V8" s="91"/>
    </row>
    <row r="9" spans="2:22" ht="19.899999999999999" customHeight="1" thickBot="1">
      <c r="B9" s="536" t="s">
        <v>149</v>
      </c>
      <c r="C9" s="538" t="s">
        <v>150</v>
      </c>
      <c r="D9" s="527" t="s">
        <v>151</v>
      </c>
      <c r="E9" s="541" t="s">
        <v>152</v>
      </c>
      <c r="F9" s="543" t="s">
        <v>153</v>
      </c>
      <c r="G9" s="525" t="s">
        <v>141</v>
      </c>
      <c r="H9" s="525" t="s">
        <v>145</v>
      </c>
      <c r="I9" s="527" t="s">
        <v>154</v>
      </c>
      <c r="J9" s="527"/>
      <c r="K9" s="528"/>
      <c r="L9" s="529"/>
      <c r="M9" s="119"/>
      <c r="N9" s="530" t="s">
        <v>155</v>
      </c>
      <c r="O9" s="531"/>
      <c r="P9" s="531"/>
      <c r="Q9" s="531"/>
      <c r="R9" s="532"/>
      <c r="S9" s="120"/>
      <c r="T9" s="533" t="s">
        <v>156</v>
      </c>
      <c r="U9" s="534"/>
      <c r="V9" s="535"/>
    </row>
    <row r="10" spans="2:22" ht="19.899999999999999" customHeight="1">
      <c r="B10" s="537"/>
      <c r="C10" s="539"/>
      <c r="D10" s="540"/>
      <c r="E10" s="542"/>
      <c r="F10" s="544"/>
      <c r="G10" s="526"/>
      <c r="H10" s="526"/>
      <c r="I10" s="121" t="s">
        <v>149</v>
      </c>
      <c r="J10" s="121" t="s">
        <v>157</v>
      </c>
      <c r="K10" s="122" t="s">
        <v>158</v>
      </c>
      <c r="L10" s="123" t="s">
        <v>159</v>
      </c>
      <c r="M10" s="119"/>
      <c r="N10" s="124" t="s">
        <v>149</v>
      </c>
      <c r="O10" s="124" t="s">
        <v>150</v>
      </c>
      <c r="P10" s="125" t="s">
        <v>151</v>
      </c>
      <c r="Q10" s="126" t="s">
        <v>160</v>
      </c>
      <c r="R10" s="127" t="s">
        <v>161</v>
      </c>
      <c r="S10" s="120"/>
      <c r="T10" s="128" t="s">
        <v>150</v>
      </c>
      <c r="U10" s="129" t="s">
        <v>151</v>
      </c>
      <c r="V10" s="130" t="s">
        <v>162</v>
      </c>
    </row>
    <row r="11" spans="2:22" ht="19.899999999999999" customHeight="1">
      <c r="B11" s="226" t="s">
        <v>149</v>
      </c>
      <c r="C11" s="220" t="s">
        <v>150</v>
      </c>
      <c r="D11" s="132" t="s">
        <v>151</v>
      </c>
      <c r="E11" s="133" t="s">
        <v>152</v>
      </c>
      <c r="F11" s="134" t="s">
        <v>153</v>
      </c>
      <c r="G11" s="135" t="s">
        <v>141</v>
      </c>
      <c r="H11" s="135" t="s">
        <v>145</v>
      </c>
      <c r="J11" s="133"/>
      <c r="T11" s="140"/>
      <c r="V11" s="145"/>
    </row>
    <row r="12" spans="2:22" ht="19.899999999999999" customHeight="1">
      <c r="B12" s="226"/>
      <c r="C12" s="220"/>
      <c r="D12" s="131"/>
      <c r="J12" s="133"/>
      <c r="T12" s="140"/>
      <c r="V12" s="145"/>
    </row>
    <row r="13" spans="2:22" ht="19.899999999999999" customHeight="1">
      <c r="B13" s="226"/>
      <c r="C13" s="220"/>
      <c r="J13" s="133"/>
      <c r="T13" s="140"/>
      <c r="V13" s="145"/>
    </row>
    <row r="14" spans="2:22" ht="19.899999999999999" customHeight="1">
      <c r="B14" s="226"/>
      <c r="C14" s="220"/>
      <c r="J14" s="133"/>
      <c r="T14" s="140"/>
      <c r="V14" s="145"/>
    </row>
    <row r="15" spans="2:22" ht="19.899999999999999" customHeight="1">
      <c r="B15" s="226"/>
      <c r="C15" s="220"/>
      <c r="J15" s="133"/>
      <c r="T15" s="140"/>
      <c r="V15" s="145"/>
    </row>
    <row r="16" spans="2:22" ht="19.899999999999999" customHeight="1">
      <c r="B16" s="226"/>
      <c r="C16" s="220"/>
      <c r="J16" s="133"/>
      <c r="T16" s="140"/>
      <c r="V16" s="145"/>
    </row>
    <row r="17" spans="2:22" ht="19.899999999999999" customHeight="1">
      <c r="B17" s="226"/>
      <c r="C17" s="220"/>
      <c r="J17" s="133"/>
      <c r="T17" s="140"/>
      <c r="V17" s="145"/>
    </row>
    <row r="18" spans="2:22" ht="19.899999999999999" customHeight="1">
      <c r="B18" s="226"/>
      <c r="C18" s="220"/>
      <c r="J18" s="133"/>
      <c r="T18" s="140"/>
      <c r="V18" s="145"/>
    </row>
    <row r="19" spans="2:22" ht="19.899999999999999" customHeight="1">
      <c r="B19" s="226"/>
      <c r="C19" s="220"/>
      <c r="J19" s="133"/>
      <c r="T19" s="140"/>
      <c r="V19" s="145"/>
    </row>
    <row r="20" spans="2:22" ht="19.899999999999999" customHeight="1">
      <c r="B20" s="226"/>
      <c r="C20" s="220"/>
      <c r="J20" s="133"/>
      <c r="T20" s="140"/>
      <c r="V20" s="145"/>
    </row>
    <row r="21" spans="2:22" ht="19.899999999999999" customHeight="1">
      <c r="B21" s="226"/>
      <c r="C21" s="220"/>
      <c r="J21" s="133"/>
      <c r="T21" s="140"/>
      <c r="V21" s="145"/>
    </row>
    <row r="22" spans="2:22" ht="19.899999999999999" customHeight="1">
      <c r="B22" s="226"/>
      <c r="C22" s="220"/>
      <c r="J22" s="133"/>
      <c r="T22" s="140"/>
      <c r="V22" s="145"/>
    </row>
    <row r="23" spans="2:22" ht="19.899999999999999" customHeight="1">
      <c r="B23" s="226"/>
      <c r="C23" s="220"/>
      <c r="J23" s="133"/>
      <c r="T23" s="140"/>
      <c r="V23" s="145"/>
    </row>
    <row r="24" spans="2:22" ht="19.899999999999999" customHeight="1">
      <c r="B24" s="226"/>
      <c r="C24" s="220"/>
      <c r="J24" s="133"/>
      <c r="T24" s="140"/>
      <c r="V24" s="145"/>
    </row>
    <row r="25" spans="2:22" ht="19.899999999999999" customHeight="1">
      <c r="B25" s="226"/>
      <c r="C25" s="220"/>
      <c r="J25" s="133"/>
      <c r="T25" s="140"/>
      <c r="V25" s="145"/>
    </row>
    <row r="26" spans="2:22" ht="19.899999999999999" customHeight="1">
      <c r="B26" s="226"/>
      <c r="C26" s="220"/>
      <c r="J26" s="133"/>
      <c r="T26" s="140"/>
      <c r="V26" s="145"/>
    </row>
    <row r="27" spans="2:22" ht="19.899999999999999" customHeight="1">
      <c r="B27" s="226"/>
      <c r="C27" s="220"/>
      <c r="J27" s="133"/>
      <c r="T27" s="140"/>
      <c r="V27" s="145"/>
    </row>
    <row r="28" spans="2:22" ht="19.899999999999999" customHeight="1">
      <c r="B28" s="226"/>
      <c r="C28" s="220"/>
      <c r="J28" s="133"/>
      <c r="T28" s="140"/>
      <c r="V28" s="145"/>
    </row>
    <row r="29" spans="2:22" ht="19.899999999999999" customHeight="1">
      <c r="B29" s="226"/>
      <c r="C29" s="220"/>
      <c r="J29" s="133"/>
      <c r="T29" s="140"/>
      <c r="V29" s="145"/>
    </row>
    <row r="30" spans="2:22" ht="19.899999999999999" customHeight="1">
      <c r="B30" s="226"/>
      <c r="C30" s="220"/>
      <c r="J30" s="133"/>
      <c r="T30" s="140"/>
      <c r="V30" s="145"/>
    </row>
    <row r="31" spans="2:22" ht="19.899999999999999" customHeight="1">
      <c r="B31" s="226"/>
      <c r="C31" s="220"/>
      <c r="J31" s="133"/>
      <c r="T31" s="140"/>
      <c r="V31" s="145"/>
    </row>
    <row r="32" spans="2:22" ht="19.899999999999999" customHeight="1">
      <c r="B32" s="226"/>
      <c r="C32" s="220"/>
      <c r="J32" s="133"/>
      <c r="T32" s="140"/>
      <c r="V32" s="145"/>
    </row>
    <row r="33" spans="2:22" ht="19.899999999999999" customHeight="1">
      <c r="B33" s="226"/>
      <c r="C33" s="220"/>
      <c r="J33" s="133"/>
      <c r="T33" s="140"/>
      <c r="V33" s="145"/>
    </row>
    <row r="34" spans="2:22" ht="19.899999999999999" customHeight="1">
      <c r="B34" s="226"/>
      <c r="C34" s="220"/>
      <c r="J34" s="133"/>
      <c r="T34" s="140"/>
      <c r="V34" s="145"/>
    </row>
    <row r="35" spans="2:22" ht="19.899999999999999" customHeight="1">
      <c r="B35" s="226"/>
      <c r="C35" s="220"/>
      <c r="J35" s="133"/>
      <c r="T35" s="140"/>
      <c r="V35" s="145"/>
    </row>
    <row r="36" spans="2:22" ht="19.899999999999999" customHeight="1">
      <c r="B36" s="226"/>
      <c r="C36" s="220"/>
      <c r="J36" s="133"/>
      <c r="T36" s="140"/>
      <c r="V36" s="145"/>
    </row>
    <row r="37" spans="2:22" ht="19.899999999999999" customHeight="1">
      <c r="B37" s="226"/>
      <c r="C37" s="220"/>
      <c r="J37" s="133"/>
      <c r="T37" s="140"/>
      <c r="V37" s="145"/>
    </row>
    <row r="38" spans="2:22" ht="19.899999999999999" customHeight="1">
      <c r="B38" s="226"/>
      <c r="C38" s="220"/>
      <c r="J38" s="133"/>
      <c r="Q38" s="137"/>
      <c r="T38" s="140"/>
      <c r="V38" s="145"/>
    </row>
    <row r="39" spans="2:22" ht="19.899999999999999" customHeight="1">
      <c r="B39" s="226"/>
      <c r="C39" s="220"/>
      <c r="J39" s="133"/>
      <c r="T39" s="140"/>
      <c r="V39" s="145"/>
    </row>
    <row r="40" spans="2:22" ht="19.899999999999999" customHeight="1">
      <c r="B40" s="226"/>
      <c r="C40" s="220"/>
      <c r="J40" s="133"/>
      <c r="T40" s="140"/>
      <c r="V40" s="145"/>
    </row>
    <row r="41" spans="2:22" ht="19.899999999999999" customHeight="1">
      <c r="B41" s="226"/>
      <c r="C41" s="220"/>
      <c r="J41" s="133"/>
      <c r="T41" s="140"/>
      <c r="V41" s="145"/>
    </row>
    <row r="42" spans="2:22" ht="19.899999999999999" customHeight="1">
      <c r="B42" s="226"/>
      <c r="C42" s="220"/>
      <c r="J42" s="133"/>
      <c r="T42" s="140"/>
      <c r="V42" s="145"/>
    </row>
    <row r="43" spans="2:22" ht="19.899999999999999" customHeight="1">
      <c r="B43" s="226"/>
      <c r="C43" s="220"/>
      <c r="J43" s="133"/>
      <c r="T43" s="140"/>
      <c r="V43" s="145"/>
    </row>
    <row r="44" spans="2:22" ht="19.899999999999999" customHeight="1">
      <c r="B44" s="226"/>
      <c r="C44" s="220"/>
      <c r="J44" s="133"/>
      <c r="T44" s="140"/>
      <c r="V44" s="145"/>
    </row>
    <row r="45" spans="2:22" ht="19.899999999999999" customHeight="1">
      <c r="B45" s="226"/>
      <c r="C45" s="220"/>
      <c r="J45" s="133"/>
      <c r="T45" s="140"/>
      <c r="V45" s="145"/>
    </row>
    <row r="46" spans="2:22" ht="19.899999999999999" customHeight="1">
      <c r="B46" s="226"/>
      <c r="C46" s="220"/>
      <c r="J46" s="133"/>
      <c r="V46" s="145"/>
    </row>
    <row r="47" spans="2:22" ht="19.899999999999999" customHeight="1">
      <c r="B47" s="226"/>
      <c r="C47" s="220"/>
      <c r="J47" s="133"/>
      <c r="V47" s="145"/>
    </row>
    <row r="48" spans="2:22" ht="19.899999999999999" customHeight="1">
      <c r="B48" s="226"/>
      <c r="C48" s="220"/>
      <c r="J48" s="133"/>
      <c r="V48" s="145"/>
    </row>
    <row r="49" spans="2:22" ht="19.899999999999999" customHeight="1">
      <c r="B49" s="226"/>
      <c r="C49" s="220"/>
      <c r="J49" s="133"/>
      <c r="V49" s="145"/>
    </row>
    <row r="50" spans="2:22" ht="19.899999999999999" customHeight="1">
      <c r="B50" s="226"/>
      <c r="C50" s="220"/>
      <c r="J50" s="133"/>
      <c r="V50" s="145"/>
    </row>
    <row r="51" spans="2:22" ht="19.899999999999999" customHeight="1">
      <c r="B51" s="226"/>
      <c r="C51" s="220"/>
      <c r="J51" s="133"/>
      <c r="V51" s="145"/>
    </row>
    <row r="52" spans="2:22" ht="19.899999999999999" customHeight="1">
      <c r="B52" s="226"/>
      <c r="C52" s="220"/>
      <c r="J52" s="133"/>
      <c r="V52" s="145"/>
    </row>
    <row r="53" spans="2:22" ht="19.899999999999999" customHeight="1">
      <c r="B53" s="226"/>
      <c r="C53" s="220"/>
      <c r="J53" s="133"/>
      <c r="V53" s="145"/>
    </row>
    <row r="54" spans="2:22" ht="19.899999999999999" customHeight="1">
      <c r="B54" s="226"/>
      <c r="C54" s="220"/>
      <c r="J54" s="133"/>
      <c r="V54" s="145"/>
    </row>
    <row r="55" spans="2:22" ht="19.899999999999999" customHeight="1">
      <c r="B55" s="226"/>
      <c r="C55" s="220"/>
      <c r="J55" s="133"/>
      <c r="V55" s="145"/>
    </row>
    <row r="56" spans="2:22" ht="19.899999999999999" customHeight="1">
      <c r="B56" s="226"/>
      <c r="C56" s="220"/>
      <c r="J56" s="133"/>
      <c r="V56" s="145"/>
    </row>
    <row r="57" spans="2:22" ht="19.899999999999999" customHeight="1">
      <c r="B57" s="226"/>
      <c r="C57" s="220"/>
      <c r="J57" s="133"/>
      <c r="V57" s="145"/>
    </row>
    <row r="58" spans="2:22" ht="19.899999999999999" customHeight="1">
      <c r="B58" s="226"/>
      <c r="C58" s="220"/>
      <c r="J58" s="133"/>
      <c r="V58" s="145"/>
    </row>
    <row r="59" spans="2:22" ht="19.899999999999999" customHeight="1">
      <c r="B59" s="226"/>
      <c r="C59" s="220"/>
      <c r="J59" s="133"/>
      <c r="V59" s="145"/>
    </row>
    <row r="60" spans="2:22" ht="19.899999999999999" customHeight="1">
      <c r="B60" s="226"/>
      <c r="C60" s="220"/>
      <c r="J60" s="133"/>
      <c r="V60" s="145"/>
    </row>
    <row r="61" spans="2:22" ht="19.899999999999999" customHeight="1">
      <c r="B61" s="226"/>
      <c r="C61" s="220"/>
      <c r="J61" s="133"/>
      <c r="V61" s="145"/>
    </row>
    <row r="62" spans="2:22" ht="19.149999999999999" customHeight="1">
      <c r="B62" s="226"/>
      <c r="C62" s="220"/>
      <c r="J62" s="133"/>
      <c r="V62" s="145"/>
    </row>
    <row r="63" spans="2:22" ht="19.899999999999999" customHeight="1">
      <c r="B63" s="226"/>
      <c r="C63" s="220"/>
      <c r="J63" s="133"/>
      <c r="V63" s="145"/>
    </row>
    <row r="64" spans="2:22" ht="19.899999999999999" customHeight="1">
      <c r="B64" s="226"/>
      <c r="C64" s="220"/>
      <c r="J64" s="133"/>
      <c r="V64" s="145"/>
    </row>
    <row r="65" spans="2:22" ht="17.45" customHeight="1">
      <c r="B65" s="226"/>
      <c r="C65" s="220"/>
      <c r="J65" s="133"/>
      <c r="V65" s="145"/>
    </row>
    <row r="66" spans="2:22" ht="19.899999999999999" customHeight="1">
      <c r="B66" s="226"/>
      <c r="C66" s="220"/>
      <c r="J66" s="133"/>
      <c r="V66" s="145"/>
    </row>
    <row r="67" spans="2:22" ht="19.899999999999999" customHeight="1">
      <c r="B67" s="226"/>
      <c r="C67" s="220"/>
      <c r="J67" s="133"/>
      <c r="V67" s="145"/>
    </row>
    <row r="68" spans="2:22" ht="19.899999999999999" customHeight="1">
      <c r="B68" s="226"/>
      <c r="C68" s="220"/>
      <c r="J68" s="133"/>
      <c r="V68" s="145"/>
    </row>
    <row r="69" spans="2:22" ht="19.899999999999999" customHeight="1">
      <c r="B69" s="226"/>
      <c r="C69" s="220"/>
      <c r="J69" s="133"/>
      <c r="V69" s="145"/>
    </row>
    <row r="70" spans="2:22" ht="19.899999999999999" customHeight="1">
      <c r="B70" s="226"/>
      <c r="C70" s="220"/>
      <c r="J70" s="133"/>
      <c r="V70" s="145"/>
    </row>
    <row r="71" spans="2:22" ht="19.899999999999999" customHeight="1">
      <c r="B71" s="226"/>
      <c r="C71" s="220"/>
      <c r="J71" s="133"/>
      <c r="V71" s="145"/>
    </row>
    <row r="72" spans="2:22" ht="19.899999999999999" customHeight="1">
      <c r="B72" s="226"/>
      <c r="C72" s="220"/>
      <c r="J72" s="133"/>
      <c r="V72" s="145"/>
    </row>
    <row r="73" spans="2:22" ht="19.899999999999999" customHeight="1">
      <c r="B73" s="226"/>
      <c r="C73" s="220"/>
      <c r="J73" s="133"/>
      <c r="V73" s="145"/>
    </row>
    <row r="74" spans="2:22" ht="19.899999999999999" customHeight="1">
      <c r="B74" s="226"/>
      <c r="C74" s="220"/>
      <c r="J74" s="133"/>
      <c r="V74" s="145"/>
    </row>
    <row r="75" spans="2:22" ht="19.899999999999999" customHeight="1">
      <c r="B75" s="226"/>
      <c r="C75" s="220"/>
      <c r="J75" s="133"/>
      <c r="V75" s="145"/>
    </row>
    <row r="76" spans="2:22" ht="19.899999999999999" customHeight="1">
      <c r="B76" s="226"/>
      <c r="C76" s="220"/>
      <c r="J76" s="133"/>
      <c r="V76" s="145"/>
    </row>
    <row r="77" spans="2:22" ht="19.899999999999999" customHeight="1">
      <c r="B77" s="226"/>
      <c r="C77" s="220"/>
      <c r="J77" s="133"/>
      <c r="V77" s="145"/>
    </row>
    <row r="78" spans="2:22" ht="19.899999999999999" customHeight="1">
      <c r="B78" s="226"/>
      <c r="C78" s="220"/>
      <c r="J78" s="133"/>
      <c r="V78" s="145"/>
    </row>
    <row r="79" spans="2:22" ht="19.899999999999999" customHeight="1">
      <c r="B79" s="226"/>
      <c r="C79" s="220"/>
      <c r="J79" s="133"/>
      <c r="V79" s="145"/>
    </row>
    <row r="80" spans="2:22" ht="19.899999999999999" customHeight="1">
      <c r="B80" s="226"/>
      <c r="C80" s="220"/>
      <c r="J80" s="133"/>
      <c r="V80" s="145"/>
    </row>
    <row r="81" spans="2:22" ht="19.899999999999999" customHeight="1">
      <c r="B81" s="226"/>
      <c r="C81" s="220"/>
      <c r="J81" s="133"/>
      <c r="V81" s="145"/>
    </row>
    <row r="82" spans="2:22" ht="19.899999999999999" customHeight="1">
      <c r="B82" s="226"/>
      <c r="C82" s="220"/>
      <c r="J82" s="133"/>
      <c r="V82" s="145"/>
    </row>
    <row r="83" spans="2:22" ht="19.899999999999999" customHeight="1">
      <c r="B83" s="226"/>
      <c r="C83" s="220"/>
      <c r="J83" s="133"/>
      <c r="V83" s="145"/>
    </row>
    <row r="84" spans="2:22" ht="19.899999999999999" customHeight="1">
      <c r="B84" s="226"/>
      <c r="C84" s="220"/>
      <c r="J84" s="133"/>
      <c r="V84" s="145"/>
    </row>
    <row r="85" spans="2:22" ht="19.899999999999999" customHeight="1">
      <c r="B85" s="226"/>
      <c r="C85" s="220"/>
      <c r="J85" s="133"/>
      <c r="V85" s="145"/>
    </row>
    <row r="86" spans="2:22" ht="19.899999999999999" customHeight="1">
      <c r="B86" s="226"/>
      <c r="C86" s="220"/>
      <c r="J86" s="133"/>
      <c r="V86" s="145"/>
    </row>
    <row r="87" spans="2:22" ht="19.899999999999999" customHeight="1">
      <c r="B87" s="226"/>
      <c r="C87" s="220"/>
      <c r="J87" s="133"/>
      <c r="V87" s="145"/>
    </row>
    <row r="88" spans="2:22" ht="19.899999999999999" customHeight="1">
      <c r="B88" s="226"/>
      <c r="C88" s="220"/>
      <c r="J88" s="133"/>
      <c r="V88" s="145"/>
    </row>
    <row r="89" spans="2:22" ht="19.899999999999999" customHeight="1">
      <c r="B89" s="226"/>
      <c r="C89" s="220"/>
      <c r="J89" s="133"/>
      <c r="V89" s="145"/>
    </row>
    <row r="90" spans="2:22" ht="19.899999999999999" customHeight="1">
      <c r="B90" s="226"/>
      <c r="C90" s="220"/>
      <c r="J90" s="133"/>
      <c r="V90" s="145"/>
    </row>
    <row r="91" spans="2:22" ht="19.899999999999999" customHeight="1">
      <c r="B91" s="226"/>
      <c r="C91" s="220"/>
      <c r="J91" s="133"/>
      <c r="V91" s="145"/>
    </row>
    <row r="92" spans="2:22" ht="19.899999999999999" customHeight="1">
      <c r="B92" s="226"/>
      <c r="C92" s="220"/>
      <c r="J92" s="133"/>
    </row>
    <row r="93" spans="2:22" ht="19.899999999999999" customHeight="1">
      <c r="B93" s="226"/>
      <c r="C93" s="220"/>
      <c r="J93" s="133"/>
    </row>
    <row r="94" spans="2:22" ht="19.899999999999999" customHeight="1">
      <c r="B94" s="226"/>
      <c r="C94" s="220"/>
      <c r="J94" s="133"/>
    </row>
    <row r="95" spans="2:22" ht="19.899999999999999" customHeight="1">
      <c r="B95" s="226"/>
      <c r="C95" s="220"/>
      <c r="J95" s="133"/>
    </row>
    <row r="96" spans="2:22" ht="19.899999999999999" customHeight="1">
      <c r="B96" s="226"/>
      <c r="C96" s="220"/>
      <c r="J96" s="133"/>
    </row>
    <row r="97" spans="2:10" ht="19.899999999999999" customHeight="1">
      <c r="B97" s="226"/>
      <c r="C97" s="220"/>
      <c r="J97" s="133"/>
    </row>
    <row r="98" spans="2:10" ht="19.899999999999999" customHeight="1">
      <c r="B98" s="226"/>
      <c r="C98" s="220"/>
      <c r="J98" s="133"/>
    </row>
    <row r="99" spans="2:10" ht="19.899999999999999" customHeight="1">
      <c r="B99" s="226"/>
      <c r="C99" s="220"/>
      <c r="J99" s="133"/>
    </row>
    <row r="100" spans="2:10" ht="19.899999999999999" customHeight="1">
      <c r="B100" s="226"/>
      <c r="C100" s="220"/>
      <c r="J100" s="133"/>
    </row>
    <row r="101" spans="2:10" ht="19.899999999999999" customHeight="1">
      <c r="B101" s="226"/>
      <c r="C101" s="220"/>
      <c r="J101" s="133"/>
    </row>
    <row r="102" spans="2:10" ht="19.899999999999999" customHeight="1">
      <c r="B102" s="226"/>
      <c r="C102" s="220"/>
      <c r="J102" s="133"/>
    </row>
    <row r="103" spans="2:10" ht="19.899999999999999" customHeight="1">
      <c r="B103" s="226"/>
      <c r="C103" s="220"/>
      <c r="J103" s="133"/>
    </row>
    <row r="104" spans="2:10" ht="19.899999999999999" customHeight="1">
      <c r="B104" s="226"/>
      <c r="C104" s="220"/>
      <c r="J104" s="133"/>
    </row>
    <row r="105" spans="2:10" ht="19.899999999999999" customHeight="1">
      <c r="B105" s="226"/>
      <c r="C105" s="220"/>
      <c r="J105" s="133"/>
    </row>
    <row r="106" spans="2:10" ht="19.899999999999999" customHeight="1">
      <c r="B106" s="226"/>
      <c r="C106" s="220"/>
      <c r="J106" s="133"/>
    </row>
    <row r="107" spans="2:10" ht="19.899999999999999" customHeight="1">
      <c r="B107" s="226"/>
      <c r="C107" s="220"/>
      <c r="J107" s="133"/>
    </row>
    <row r="108" spans="2:10" ht="19.899999999999999" customHeight="1">
      <c r="B108" s="226"/>
      <c r="C108" s="220"/>
      <c r="J108" s="133"/>
    </row>
    <row r="109" spans="2:10" ht="19.899999999999999" customHeight="1">
      <c r="B109" s="226"/>
      <c r="C109" s="220"/>
      <c r="J109" s="133"/>
    </row>
    <row r="110" spans="2:10" ht="19.899999999999999" customHeight="1">
      <c r="B110" s="226"/>
      <c r="C110" s="220"/>
      <c r="J110" s="133"/>
    </row>
    <row r="111" spans="2:10" ht="19.899999999999999" customHeight="1">
      <c r="B111" s="226"/>
      <c r="C111" s="220"/>
      <c r="J111" s="133"/>
    </row>
    <row r="112" spans="2:10" ht="19.899999999999999" customHeight="1">
      <c r="B112" s="226"/>
      <c r="C112" s="220"/>
      <c r="J112" s="133"/>
    </row>
    <row r="113" spans="2:10" ht="19.899999999999999" customHeight="1">
      <c r="B113" s="226"/>
      <c r="C113" s="220"/>
      <c r="J113" s="133"/>
    </row>
    <row r="114" spans="2:10" ht="19.899999999999999" customHeight="1">
      <c r="B114" s="226"/>
      <c r="C114" s="220"/>
      <c r="J114" s="133"/>
    </row>
    <row r="115" spans="2:10" ht="19.899999999999999" customHeight="1">
      <c r="B115" s="226"/>
      <c r="C115" s="220"/>
      <c r="J115" s="133"/>
    </row>
    <row r="116" spans="2:10" ht="19.899999999999999" customHeight="1">
      <c r="B116" s="226"/>
      <c r="C116" s="220"/>
      <c r="J116" s="133"/>
    </row>
    <row r="117" spans="2:10" ht="19.899999999999999" customHeight="1">
      <c r="B117" s="226"/>
      <c r="C117" s="220"/>
      <c r="J117" s="133"/>
    </row>
    <row r="118" spans="2:10" ht="19.899999999999999" customHeight="1">
      <c r="B118" s="226"/>
      <c r="C118" s="220"/>
      <c r="J118" s="133"/>
    </row>
    <row r="119" spans="2:10" ht="19.899999999999999" customHeight="1">
      <c r="B119" s="226"/>
      <c r="C119" s="220"/>
      <c r="J119" s="133"/>
    </row>
    <row r="120" spans="2:10" ht="19.899999999999999" customHeight="1">
      <c r="B120" s="226"/>
      <c r="C120" s="220"/>
      <c r="J120" s="133"/>
    </row>
    <row r="121" spans="2:10" ht="19.899999999999999" customHeight="1">
      <c r="B121" s="226"/>
      <c r="C121" s="220"/>
      <c r="J121" s="133"/>
    </row>
    <row r="122" spans="2:10" ht="19.899999999999999" customHeight="1">
      <c r="B122" s="226"/>
      <c r="C122" s="220"/>
      <c r="J122" s="133"/>
    </row>
    <row r="123" spans="2:10" ht="19.899999999999999" customHeight="1">
      <c r="B123" s="226"/>
      <c r="C123" s="220"/>
      <c r="J123" s="133"/>
    </row>
    <row r="124" spans="2:10" ht="19.899999999999999" customHeight="1">
      <c r="B124" s="226"/>
      <c r="C124" s="220"/>
      <c r="J124" s="133"/>
    </row>
    <row r="125" spans="2:10" ht="19.899999999999999" customHeight="1">
      <c r="B125" s="226"/>
      <c r="C125" s="220"/>
      <c r="J125" s="133"/>
    </row>
    <row r="126" spans="2:10" ht="19.899999999999999" customHeight="1">
      <c r="B126" s="226"/>
      <c r="C126" s="220"/>
      <c r="J126" s="133"/>
    </row>
    <row r="127" spans="2:10" ht="19.899999999999999" customHeight="1">
      <c r="B127" s="226"/>
      <c r="C127" s="220"/>
      <c r="J127" s="133"/>
    </row>
    <row r="128" spans="2:10" ht="19.899999999999999" customHeight="1">
      <c r="B128" s="226"/>
      <c r="C128" s="220"/>
      <c r="J128" s="133"/>
    </row>
    <row r="129" spans="2:17" ht="19.899999999999999" customHeight="1">
      <c r="B129" s="226"/>
      <c r="C129" s="220"/>
      <c r="J129" s="133"/>
    </row>
    <row r="130" spans="2:17" ht="19.899999999999999" customHeight="1">
      <c r="B130" s="226"/>
      <c r="C130" s="220"/>
      <c r="J130" s="133"/>
    </row>
    <row r="131" spans="2:17" ht="19.899999999999999" customHeight="1">
      <c r="B131" s="226"/>
      <c r="C131" s="220"/>
      <c r="J131" s="133"/>
    </row>
    <row r="132" spans="2:17" ht="19.899999999999999" customHeight="1">
      <c r="B132" s="226"/>
      <c r="C132" s="220"/>
      <c r="J132" s="133"/>
    </row>
    <row r="133" spans="2:17" ht="19.899999999999999" customHeight="1">
      <c r="B133" s="226"/>
      <c r="C133" s="220"/>
      <c r="J133" s="133"/>
    </row>
    <row r="134" spans="2:17" ht="19.899999999999999" customHeight="1">
      <c r="B134" s="226"/>
      <c r="C134" s="220"/>
      <c r="J134" s="133"/>
    </row>
    <row r="135" spans="2:17" ht="19.899999999999999" customHeight="1">
      <c r="B135" s="226"/>
      <c r="C135" s="220"/>
      <c r="J135" s="133"/>
    </row>
    <row r="136" spans="2:17" ht="19.899999999999999" customHeight="1">
      <c r="B136" s="226"/>
      <c r="C136" s="220"/>
      <c r="J136" s="133"/>
      <c r="Q136" s="137"/>
    </row>
    <row r="137" spans="2:17" ht="19.899999999999999" customHeight="1">
      <c r="B137" s="226"/>
      <c r="C137" s="220"/>
      <c r="J137" s="133"/>
    </row>
    <row r="138" spans="2:17" ht="19.899999999999999" customHeight="1">
      <c r="B138" s="226"/>
      <c r="C138" s="220"/>
      <c r="J138" s="133"/>
    </row>
    <row r="139" spans="2:17" ht="19.899999999999999" customHeight="1">
      <c r="B139" s="226"/>
      <c r="C139" s="220"/>
      <c r="J139" s="133"/>
    </row>
    <row r="140" spans="2:17" ht="19.899999999999999" customHeight="1">
      <c r="B140" s="226"/>
      <c r="C140" s="220"/>
      <c r="J140" s="133"/>
    </row>
    <row r="141" spans="2:17" ht="19.899999999999999" customHeight="1">
      <c r="B141" s="226"/>
      <c r="C141" s="220"/>
      <c r="J141" s="133"/>
    </row>
    <row r="142" spans="2:17" ht="19.899999999999999" customHeight="1">
      <c r="B142" s="226"/>
      <c r="C142" s="220"/>
      <c r="J142" s="133"/>
    </row>
    <row r="143" spans="2:17" ht="19.899999999999999" customHeight="1">
      <c r="B143" s="226"/>
      <c r="C143" s="220"/>
      <c r="D143" s="195"/>
      <c r="E143" s="196"/>
      <c r="J143" s="133"/>
    </row>
    <row r="144" spans="2:17" ht="19.899999999999999" customHeight="1">
      <c r="B144" s="226"/>
      <c r="C144" s="220"/>
      <c r="J144" s="133"/>
    </row>
    <row r="145" spans="2:17" ht="19.899999999999999" customHeight="1">
      <c r="B145" s="226"/>
      <c r="C145" s="220"/>
      <c r="J145" s="133"/>
      <c r="Q145" s="137"/>
    </row>
    <row r="146" spans="2:17" ht="19.899999999999999" customHeight="1">
      <c r="B146" s="226"/>
      <c r="C146" s="220"/>
      <c r="J146" s="133"/>
    </row>
    <row r="147" spans="2:17" ht="19.899999999999999" customHeight="1">
      <c r="B147" s="226"/>
      <c r="C147" s="220"/>
      <c r="J147" s="133"/>
    </row>
    <row r="148" spans="2:17" ht="19.899999999999999" customHeight="1">
      <c r="B148" s="226"/>
      <c r="C148" s="220"/>
      <c r="J148" s="133"/>
    </row>
    <row r="149" spans="2:17" ht="19.899999999999999" customHeight="1">
      <c r="B149" s="226"/>
      <c r="C149" s="220"/>
      <c r="J149" s="133"/>
    </row>
    <row r="150" spans="2:17" ht="19.899999999999999" customHeight="1">
      <c r="B150" s="226"/>
      <c r="C150" s="220"/>
      <c r="J150" s="133"/>
    </row>
    <row r="151" spans="2:17" ht="19.899999999999999" customHeight="1">
      <c r="B151" s="226"/>
      <c r="C151" s="220"/>
      <c r="J151" s="133"/>
    </row>
    <row r="152" spans="2:17" ht="19.899999999999999" customHeight="1">
      <c r="B152" s="226"/>
      <c r="C152" s="220"/>
      <c r="J152" s="133"/>
      <c r="Q152" s="137"/>
    </row>
    <row r="153" spans="2:17" ht="19.899999999999999" customHeight="1">
      <c r="B153" s="226"/>
      <c r="C153" s="220"/>
      <c r="J153" s="133"/>
    </row>
    <row r="154" spans="2:17" ht="19.899999999999999" customHeight="1">
      <c r="B154" s="226"/>
      <c r="C154" s="220"/>
      <c r="J154" s="133"/>
    </row>
    <row r="155" spans="2:17" ht="19.899999999999999" customHeight="1">
      <c r="B155" s="226"/>
      <c r="C155" s="220"/>
      <c r="J155" s="133"/>
    </row>
    <row r="156" spans="2:17" ht="19.899999999999999" customHeight="1">
      <c r="B156" s="226"/>
      <c r="C156" s="220"/>
      <c r="J156" s="133"/>
    </row>
    <row r="157" spans="2:17" ht="19.899999999999999" customHeight="1">
      <c r="B157" s="226"/>
      <c r="C157" s="220"/>
      <c r="J157" s="133"/>
    </row>
    <row r="158" spans="2:17" ht="19.899999999999999" customHeight="1">
      <c r="B158" s="226"/>
      <c r="C158" s="220"/>
      <c r="J158" s="133"/>
    </row>
    <row r="159" spans="2:17" ht="19.899999999999999" customHeight="1">
      <c r="B159" s="226"/>
      <c r="C159" s="220"/>
      <c r="J159" s="133"/>
    </row>
    <row r="160" spans="2:17" ht="19.899999999999999" customHeight="1">
      <c r="B160" s="226"/>
      <c r="C160" s="220"/>
      <c r="J160" s="133"/>
    </row>
    <row r="161" spans="2:10" ht="19.899999999999999" customHeight="1">
      <c r="B161" s="226"/>
      <c r="C161" s="220"/>
      <c r="J161" s="133"/>
    </row>
    <row r="162" spans="2:10" ht="19.899999999999999" customHeight="1">
      <c r="B162" s="226"/>
      <c r="C162" s="220"/>
      <c r="J162" s="133"/>
    </row>
    <row r="163" spans="2:10" ht="19.899999999999999" customHeight="1">
      <c r="B163" s="226"/>
      <c r="C163" s="220"/>
      <c r="J163" s="133"/>
    </row>
    <row r="164" spans="2:10" ht="19.899999999999999" customHeight="1">
      <c r="B164" s="226"/>
      <c r="C164" s="220"/>
      <c r="J164" s="133"/>
    </row>
    <row r="165" spans="2:10" ht="19.899999999999999" customHeight="1">
      <c r="B165" s="226"/>
      <c r="C165" s="220"/>
      <c r="J165" s="133"/>
    </row>
    <row r="166" spans="2:10" ht="19.899999999999999" customHeight="1">
      <c r="B166" s="226"/>
      <c r="C166" s="220"/>
      <c r="J166" s="133"/>
    </row>
    <row r="167" spans="2:10" ht="19.899999999999999" customHeight="1">
      <c r="B167" s="226"/>
      <c r="C167" s="220"/>
      <c r="J167" s="133"/>
    </row>
    <row r="168" spans="2:10" ht="19.899999999999999" customHeight="1">
      <c r="B168" s="226"/>
      <c r="C168" s="220"/>
      <c r="J168" s="133"/>
    </row>
    <row r="169" spans="2:10" ht="19.899999999999999" customHeight="1">
      <c r="B169" s="226"/>
      <c r="C169" s="220"/>
      <c r="J169" s="133"/>
    </row>
    <row r="170" spans="2:10" ht="19.899999999999999" customHeight="1">
      <c r="B170" s="226"/>
      <c r="C170" s="220"/>
      <c r="J170" s="133"/>
    </row>
    <row r="171" spans="2:10" ht="19.899999999999999" customHeight="1">
      <c r="B171" s="226"/>
      <c r="C171" s="220"/>
      <c r="J171" s="133"/>
    </row>
    <row r="172" spans="2:10" ht="19.899999999999999" customHeight="1">
      <c r="B172" s="226"/>
      <c r="C172" s="220"/>
      <c r="J172" s="133"/>
    </row>
    <row r="173" spans="2:10" ht="19.899999999999999" customHeight="1">
      <c r="B173" s="226"/>
      <c r="C173" s="220"/>
      <c r="J173" s="133"/>
    </row>
    <row r="174" spans="2:10" ht="19.899999999999999" customHeight="1">
      <c r="B174" s="226"/>
      <c r="C174" s="220"/>
      <c r="J174" s="133"/>
    </row>
    <row r="175" spans="2:10" ht="19.899999999999999" customHeight="1">
      <c r="B175" s="226"/>
      <c r="C175" s="220"/>
      <c r="J175" s="133"/>
    </row>
    <row r="176" spans="2:10" ht="19.899999999999999" customHeight="1">
      <c r="B176" s="226"/>
      <c r="C176" s="220"/>
      <c r="J176" s="133"/>
    </row>
    <row r="177" spans="2:17" ht="19.899999999999999" customHeight="1">
      <c r="B177" s="226"/>
      <c r="C177" s="220"/>
      <c r="J177" s="133"/>
    </row>
    <row r="178" spans="2:17" ht="19.899999999999999" customHeight="1">
      <c r="B178" s="226"/>
      <c r="C178" s="220"/>
      <c r="J178" s="133"/>
    </row>
    <row r="179" spans="2:17" ht="19.899999999999999" customHeight="1">
      <c r="B179" s="226"/>
      <c r="C179" s="220"/>
      <c r="J179" s="133"/>
    </row>
    <row r="180" spans="2:17" ht="19.899999999999999" customHeight="1">
      <c r="B180" s="226"/>
      <c r="C180" s="220"/>
      <c r="J180" s="133"/>
    </row>
    <row r="181" spans="2:17" ht="19.899999999999999" customHeight="1">
      <c r="B181" s="226"/>
      <c r="C181" s="220"/>
      <c r="J181" s="133"/>
    </row>
    <row r="182" spans="2:17" ht="19.899999999999999" customHeight="1">
      <c r="B182" s="226"/>
      <c r="C182" s="220"/>
      <c r="J182" s="133"/>
    </row>
    <row r="183" spans="2:17" ht="19.899999999999999" customHeight="1">
      <c r="B183" s="226"/>
      <c r="C183" s="220"/>
      <c r="J183" s="133"/>
      <c r="P183" s="131"/>
      <c r="Q183" s="137"/>
    </row>
    <row r="184" spans="2:17" ht="19.899999999999999" customHeight="1">
      <c r="B184" s="226"/>
      <c r="C184" s="220"/>
      <c r="J184" s="133"/>
    </row>
    <row r="185" spans="2:17" ht="19.899999999999999" customHeight="1">
      <c r="B185" s="226"/>
      <c r="C185" s="220"/>
      <c r="J185" s="133"/>
    </row>
    <row r="186" spans="2:17" ht="19.899999999999999" customHeight="1">
      <c r="B186" s="226"/>
      <c r="C186" s="220"/>
      <c r="J186" s="133"/>
    </row>
    <row r="187" spans="2:17" ht="19.899999999999999" customHeight="1">
      <c r="B187" s="226"/>
      <c r="C187" s="220"/>
      <c r="J187" s="133"/>
    </row>
    <row r="188" spans="2:17" ht="19.899999999999999" customHeight="1">
      <c r="B188" s="226"/>
      <c r="C188" s="220"/>
      <c r="J188" s="133"/>
    </row>
    <row r="189" spans="2:17" ht="19.899999999999999" customHeight="1">
      <c r="B189" s="226"/>
      <c r="C189" s="220"/>
      <c r="J189" s="133"/>
    </row>
    <row r="190" spans="2:17" ht="19.899999999999999" customHeight="1">
      <c r="B190" s="226"/>
      <c r="C190" s="220"/>
      <c r="J190" s="133"/>
    </row>
    <row r="191" spans="2:17" ht="19.899999999999999" customHeight="1">
      <c r="B191" s="226"/>
      <c r="C191" s="220"/>
      <c r="J191" s="133"/>
    </row>
    <row r="192" spans="2:17" ht="19.899999999999999" customHeight="1">
      <c r="B192" s="226"/>
      <c r="C192" s="220"/>
      <c r="J192" s="133"/>
    </row>
    <row r="193" spans="2:10" ht="19.899999999999999" customHeight="1">
      <c r="B193" s="226"/>
      <c r="C193" s="220"/>
      <c r="J193" s="133"/>
    </row>
    <row r="194" spans="2:10" ht="19.899999999999999" customHeight="1">
      <c r="B194" s="226"/>
      <c r="C194" s="220"/>
      <c r="J194" s="133"/>
    </row>
    <row r="195" spans="2:10" ht="19.899999999999999" customHeight="1">
      <c r="B195" s="226"/>
      <c r="C195" s="220"/>
      <c r="J195" s="133"/>
    </row>
    <row r="196" spans="2:10" ht="19.899999999999999" customHeight="1">
      <c r="B196" s="226"/>
      <c r="C196" s="220"/>
      <c r="J196" s="133"/>
    </row>
    <row r="197" spans="2:10" ht="19.899999999999999" customHeight="1">
      <c r="B197" s="226"/>
      <c r="C197" s="220"/>
      <c r="J197" s="133"/>
    </row>
    <row r="198" spans="2:10" ht="19.899999999999999" customHeight="1">
      <c r="B198" s="226"/>
      <c r="C198" s="220"/>
      <c r="J198" s="133"/>
    </row>
    <row r="199" spans="2:10" ht="19.899999999999999" customHeight="1">
      <c r="B199" s="226"/>
      <c r="C199" s="220"/>
      <c r="J199" s="133"/>
    </row>
    <row r="200" spans="2:10" ht="19.899999999999999" customHeight="1">
      <c r="B200" s="226"/>
      <c r="C200" s="220"/>
      <c r="J200" s="133"/>
    </row>
    <row r="201" spans="2:10" ht="19.899999999999999" customHeight="1">
      <c r="B201" s="226"/>
      <c r="C201" s="220"/>
      <c r="J201" s="133"/>
    </row>
    <row r="202" spans="2:10" ht="19.899999999999999" customHeight="1">
      <c r="B202" s="226"/>
      <c r="C202" s="220"/>
      <c r="J202" s="133"/>
    </row>
    <row r="203" spans="2:10" ht="19.899999999999999" customHeight="1">
      <c r="B203" s="226"/>
      <c r="C203" s="220"/>
      <c r="J203" s="133"/>
    </row>
    <row r="204" spans="2:10" ht="19.899999999999999" customHeight="1">
      <c r="B204" s="226"/>
      <c r="C204" s="220"/>
      <c r="J204" s="133"/>
    </row>
    <row r="205" spans="2:10" ht="19.899999999999999" customHeight="1">
      <c r="B205" s="226"/>
      <c r="C205" s="220"/>
      <c r="J205" s="133"/>
    </row>
    <row r="206" spans="2:10" ht="19.899999999999999" customHeight="1">
      <c r="B206" s="226"/>
      <c r="C206" s="220"/>
      <c r="J206" s="133"/>
    </row>
    <row r="207" spans="2:10" ht="19.899999999999999" customHeight="1">
      <c r="B207" s="226"/>
      <c r="C207" s="220"/>
      <c r="J207" s="133"/>
    </row>
    <row r="208" spans="2:10" ht="19.899999999999999" customHeight="1">
      <c r="B208" s="226"/>
      <c r="C208" s="220"/>
      <c r="J208" s="133"/>
    </row>
    <row r="209" spans="2:10" ht="19.899999999999999" customHeight="1">
      <c r="B209" s="226"/>
      <c r="C209" s="220"/>
      <c r="J209" s="133"/>
    </row>
    <row r="210" spans="2:10" ht="19.899999999999999" customHeight="1">
      <c r="B210" s="226"/>
      <c r="C210" s="220"/>
      <c r="J210" s="133"/>
    </row>
    <row r="211" spans="2:10" ht="19.899999999999999" customHeight="1">
      <c r="B211" s="226"/>
      <c r="C211" s="220"/>
      <c r="J211" s="133"/>
    </row>
    <row r="212" spans="2:10" ht="19.899999999999999" customHeight="1">
      <c r="B212" s="226"/>
      <c r="C212" s="220"/>
      <c r="J212" s="133"/>
    </row>
    <row r="213" spans="2:10" ht="19.899999999999999" customHeight="1">
      <c r="B213" s="226"/>
      <c r="C213" s="220"/>
      <c r="J213" s="133"/>
    </row>
    <row r="214" spans="2:10" ht="19.899999999999999" customHeight="1">
      <c r="B214" s="226"/>
      <c r="C214" s="220"/>
      <c r="J214" s="133"/>
    </row>
    <row r="215" spans="2:10" ht="19.899999999999999" customHeight="1">
      <c r="B215" s="226"/>
      <c r="C215" s="220"/>
      <c r="J215" s="133"/>
    </row>
    <row r="216" spans="2:10" ht="19.899999999999999" customHeight="1">
      <c r="B216" s="226"/>
      <c r="C216" s="220"/>
      <c r="J216" s="133"/>
    </row>
    <row r="217" spans="2:10" ht="19.899999999999999" customHeight="1">
      <c r="B217" s="226"/>
      <c r="C217" s="220"/>
      <c r="J217" s="133"/>
    </row>
    <row r="218" spans="2:10" ht="19.899999999999999" customHeight="1">
      <c r="B218" s="226"/>
      <c r="C218" s="220"/>
      <c r="J218" s="133"/>
    </row>
    <row r="219" spans="2:10" ht="19.899999999999999" customHeight="1">
      <c r="B219" s="226"/>
      <c r="C219" s="220"/>
      <c r="J219" s="133"/>
    </row>
    <row r="220" spans="2:10" ht="19.899999999999999" customHeight="1">
      <c r="B220" s="226"/>
      <c r="C220" s="220"/>
      <c r="J220" s="133"/>
    </row>
    <row r="221" spans="2:10" ht="19.899999999999999" customHeight="1">
      <c r="B221" s="226"/>
      <c r="C221" s="220"/>
      <c r="J221" s="133"/>
    </row>
    <row r="222" spans="2:10" ht="19.899999999999999" customHeight="1">
      <c r="B222" s="226"/>
      <c r="C222" s="220"/>
      <c r="J222" s="133"/>
    </row>
    <row r="223" spans="2:10" ht="19.899999999999999" customHeight="1">
      <c r="B223" s="226"/>
      <c r="C223" s="220"/>
      <c r="J223" s="133"/>
    </row>
    <row r="224" spans="2:10" ht="19.899999999999999" customHeight="1">
      <c r="B224" s="226"/>
      <c r="C224" s="220"/>
      <c r="J224" s="133"/>
    </row>
    <row r="225" spans="2:17" ht="19.899999999999999" customHeight="1">
      <c r="B225" s="226"/>
      <c r="C225" s="220"/>
      <c r="J225" s="133"/>
    </row>
    <row r="226" spans="2:17" ht="19.899999999999999" customHeight="1">
      <c r="B226" s="226"/>
      <c r="C226" s="220"/>
      <c r="J226" s="133"/>
    </row>
    <row r="227" spans="2:17" ht="19.899999999999999" customHeight="1">
      <c r="B227" s="226"/>
      <c r="C227" s="220"/>
      <c r="J227" s="133"/>
    </row>
    <row r="228" spans="2:17" ht="19.899999999999999" customHeight="1">
      <c r="B228" s="226"/>
      <c r="C228" s="220"/>
      <c r="J228" s="133"/>
    </row>
    <row r="229" spans="2:17" ht="19.899999999999999" customHeight="1">
      <c r="B229" s="226"/>
      <c r="C229" s="220"/>
      <c r="J229" s="133"/>
    </row>
    <row r="230" spans="2:17" ht="19.899999999999999" customHeight="1">
      <c r="B230" s="226"/>
      <c r="C230" s="220"/>
      <c r="J230" s="133"/>
    </row>
    <row r="231" spans="2:17" ht="19.899999999999999" customHeight="1">
      <c r="B231" s="226"/>
      <c r="C231" s="220"/>
      <c r="J231" s="133"/>
    </row>
    <row r="232" spans="2:17" ht="19.899999999999999" customHeight="1">
      <c r="B232" s="226"/>
      <c r="C232" s="220"/>
      <c r="J232" s="133"/>
    </row>
    <row r="233" spans="2:17" ht="19.899999999999999" customHeight="1">
      <c r="B233" s="226"/>
      <c r="C233" s="220"/>
      <c r="J233" s="133"/>
    </row>
    <row r="234" spans="2:17" ht="19.899999999999999" customHeight="1">
      <c r="B234" s="226"/>
      <c r="C234" s="220"/>
      <c r="J234" s="133"/>
    </row>
    <row r="235" spans="2:17" ht="19.899999999999999" customHeight="1">
      <c r="B235" s="226"/>
      <c r="C235" s="220"/>
      <c r="J235" s="133"/>
    </row>
    <row r="236" spans="2:17" ht="19.899999999999999" customHeight="1">
      <c r="B236" s="226"/>
      <c r="C236" s="220"/>
      <c r="J236" s="133"/>
    </row>
    <row r="237" spans="2:17" ht="19.899999999999999" customHeight="1">
      <c r="B237" s="226"/>
      <c r="C237" s="220"/>
      <c r="J237" s="133"/>
    </row>
    <row r="238" spans="2:17" ht="19.899999999999999" customHeight="1">
      <c r="B238" s="226"/>
      <c r="C238" s="220"/>
      <c r="J238" s="133"/>
      <c r="Q238" s="137"/>
    </row>
    <row r="239" spans="2:17" ht="19.899999999999999" customHeight="1">
      <c r="B239" s="226"/>
      <c r="C239" s="220"/>
      <c r="J239" s="133"/>
    </row>
    <row r="240" spans="2:17" ht="19.899999999999999" customHeight="1">
      <c r="B240" s="226"/>
      <c r="C240" s="220"/>
      <c r="J240" s="133"/>
    </row>
    <row r="241" spans="2:17" ht="19.899999999999999" customHeight="1">
      <c r="B241" s="226"/>
      <c r="C241" s="220"/>
      <c r="J241" s="133"/>
      <c r="Q241" s="137"/>
    </row>
    <row r="242" spans="2:17" ht="19.899999999999999" customHeight="1">
      <c r="B242" s="226"/>
      <c r="C242" s="220"/>
      <c r="J242" s="133"/>
    </row>
    <row r="243" spans="2:17" ht="19.899999999999999" customHeight="1">
      <c r="B243" s="226"/>
      <c r="C243" s="220"/>
      <c r="J243" s="133"/>
    </row>
    <row r="244" spans="2:17" ht="19.899999999999999" customHeight="1">
      <c r="B244" s="226"/>
      <c r="C244" s="220"/>
      <c r="J244" s="133"/>
    </row>
    <row r="245" spans="2:17" ht="19.899999999999999" customHeight="1">
      <c r="B245" s="226"/>
      <c r="C245" s="220"/>
      <c r="J245" s="133"/>
      <c r="Q245" s="137"/>
    </row>
    <row r="246" spans="2:17" ht="19.899999999999999" customHeight="1">
      <c r="B246" s="226"/>
      <c r="C246" s="220"/>
      <c r="J246" s="133"/>
    </row>
    <row r="247" spans="2:17" ht="19.899999999999999" customHeight="1">
      <c r="B247" s="226"/>
      <c r="C247" s="220"/>
      <c r="J247" s="133"/>
    </row>
    <row r="248" spans="2:17" ht="19.899999999999999" customHeight="1">
      <c r="B248" s="226"/>
      <c r="C248" s="220"/>
      <c r="J248" s="133"/>
    </row>
    <row r="249" spans="2:17" ht="19.899999999999999" customHeight="1">
      <c r="B249" s="226"/>
      <c r="C249" s="220"/>
      <c r="J249" s="133"/>
    </row>
    <row r="250" spans="2:17" ht="19.899999999999999" customHeight="1">
      <c r="B250" s="226"/>
      <c r="C250" s="220"/>
      <c r="J250" s="133"/>
    </row>
    <row r="251" spans="2:17" ht="19.899999999999999" customHeight="1">
      <c r="B251" s="226"/>
      <c r="C251" s="220"/>
      <c r="J251" s="133"/>
    </row>
    <row r="252" spans="2:17" ht="19.899999999999999" customHeight="1">
      <c r="B252" s="226"/>
      <c r="C252" s="220"/>
      <c r="J252" s="133"/>
    </row>
    <row r="253" spans="2:17" ht="19.899999999999999" customHeight="1">
      <c r="B253" s="226"/>
      <c r="C253" s="220"/>
      <c r="J253" s="133"/>
    </row>
    <row r="254" spans="2:17" ht="19.899999999999999" customHeight="1">
      <c r="B254" s="226"/>
      <c r="C254" s="220"/>
      <c r="J254" s="133"/>
    </row>
    <row r="255" spans="2:17" ht="19.899999999999999" customHeight="1">
      <c r="B255" s="226"/>
      <c r="C255" s="220"/>
      <c r="J255" s="133"/>
    </row>
    <row r="256" spans="2:17" ht="19.899999999999999" customHeight="1">
      <c r="B256" s="226"/>
      <c r="C256" s="220"/>
      <c r="J256" s="133"/>
    </row>
    <row r="257" spans="2:10" ht="19.899999999999999" customHeight="1">
      <c r="B257" s="226"/>
      <c r="C257" s="220"/>
      <c r="J257" s="133"/>
    </row>
    <row r="258" spans="2:10" ht="19.899999999999999" customHeight="1">
      <c r="B258" s="226"/>
      <c r="C258" s="220"/>
      <c r="J258" s="133"/>
    </row>
    <row r="259" spans="2:10" ht="19.899999999999999" customHeight="1">
      <c r="B259" s="226"/>
      <c r="C259" s="220"/>
      <c r="J259" s="133"/>
    </row>
    <row r="260" spans="2:10" ht="19.899999999999999" customHeight="1">
      <c r="B260" s="226"/>
      <c r="C260" s="220"/>
      <c r="J260" s="133"/>
    </row>
    <row r="261" spans="2:10" ht="19.899999999999999" customHeight="1">
      <c r="B261" s="226"/>
      <c r="C261" s="220"/>
      <c r="J261" s="133"/>
    </row>
    <row r="262" spans="2:10" ht="19.899999999999999" customHeight="1">
      <c r="B262" s="226"/>
      <c r="C262" s="220"/>
      <c r="J262" s="133"/>
    </row>
    <row r="263" spans="2:10" ht="19.899999999999999" customHeight="1">
      <c r="B263" s="226"/>
      <c r="C263" s="220"/>
      <c r="J263" s="133"/>
    </row>
    <row r="264" spans="2:10" ht="19.899999999999999" customHeight="1">
      <c r="B264" s="226"/>
      <c r="C264" s="220"/>
      <c r="J264" s="133"/>
    </row>
    <row r="265" spans="2:10" ht="19.899999999999999" customHeight="1">
      <c r="B265" s="226"/>
      <c r="C265" s="220"/>
      <c r="J265" s="133"/>
    </row>
    <row r="266" spans="2:10" ht="19.899999999999999" customHeight="1">
      <c r="B266" s="226"/>
      <c r="C266" s="220"/>
      <c r="J266" s="133"/>
    </row>
    <row r="267" spans="2:10" ht="19.899999999999999" customHeight="1">
      <c r="B267" s="226"/>
      <c r="C267" s="220"/>
      <c r="J267" s="133"/>
    </row>
    <row r="268" spans="2:10" ht="19.899999999999999" customHeight="1">
      <c r="B268" s="226"/>
      <c r="C268" s="220"/>
      <c r="J268" s="133"/>
    </row>
    <row r="269" spans="2:10" ht="19.899999999999999" customHeight="1">
      <c r="B269" s="226"/>
      <c r="C269" s="220"/>
      <c r="J269" s="133"/>
    </row>
    <row r="270" spans="2:10" ht="19.899999999999999" customHeight="1">
      <c r="B270" s="226"/>
      <c r="C270" s="220"/>
      <c r="J270" s="133"/>
    </row>
    <row r="271" spans="2:10" ht="19.899999999999999" customHeight="1">
      <c r="B271" s="226"/>
      <c r="C271" s="220"/>
      <c r="J271" s="133"/>
    </row>
    <row r="272" spans="2:10" ht="19.899999999999999" customHeight="1">
      <c r="B272" s="226"/>
      <c r="C272" s="220"/>
      <c r="J272" s="133"/>
    </row>
    <row r="273" spans="2:10" ht="19.899999999999999" customHeight="1">
      <c r="B273" s="226"/>
      <c r="C273" s="220"/>
      <c r="J273" s="133"/>
    </row>
    <row r="274" spans="2:10" ht="19.899999999999999" customHeight="1">
      <c r="B274" s="226"/>
      <c r="C274" s="220"/>
      <c r="J274" s="133"/>
    </row>
    <row r="275" spans="2:10" ht="19.899999999999999" customHeight="1">
      <c r="B275" s="226"/>
      <c r="C275" s="220"/>
      <c r="J275" s="133"/>
    </row>
    <row r="276" spans="2:10" ht="19.899999999999999" customHeight="1">
      <c r="B276" s="226"/>
      <c r="C276" s="220"/>
      <c r="J276" s="133"/>
    </row>
    <row r="277" spans="2:10" ht="19.899999999999999" customHeight="1">
      <c r="B277" s="226"/>
      <c r="C277" s="220"/>
      <c r="J277" s="133"/>
    </row>
    <row r="278" spans="2:10" ht="19.899999999999999" customHeight="1">
      <c r="B278" s="226"/>
      <c r="C278" s="220"/>
      <c r="J278" s="133"/>
    </row>
    <row r="279" spans="2:10" ht="19.899999999999999" customHeight="1">
      <c r="B279" s="226"/>
      <c r="C279" s="220"/>
      <c r="J279" s="133"/>
    </row>
    <row r="280" spans="2:10" ht="19.899999999999999" customHeight="1">
      <c r="B280" s="226"/>
      <c r="C280" s="220"/>
      <c r="J280" s="133"/>
    </row>
    <row r="281" spans="2:10" ht="19.899999999999999" customHeight="1">
      <c r="B281" s="226"/>
      <c r="C281" s="220"/>
      <c r="J281" s="133"/>
    </row>
    <row r="282" spans="2:10" ht="19.899999999999999" customHeight="1">
      <c r="B282" s="226"/>
      <c r="C282" s="220"/>
      <c r="J282" s="133"/>
    </row>
    <row r="283" spans="2:10" ht="19.899999999999999" customHeight="1">
      <c r="B283" s="226"/>
      <c r="C283" s="220"/>
      <c r="J283" s="133"/>
    </row>
    <row r="284" spans="2:10" ht="19.899999999999999" customHeight="1">
      <c r="B284" s="226"/>
      <c r="C284" s="220"/>
      <c r="J284" s="133"/>
    </row>
    <row r="285" spans="2:10" ht="19.899999999999999" customHeight="1">
      <c r="B285" s="226"/>
      <c r="C285" s="220"/>
      <c r="J285" s="133"/>
    </row>
    <row r="286" spans="2:10" ht="19.899999999999999" customHeight="1">
      <c r="B286" s="226"/>
      <c r="C286" s="220"/>
      <c r="J286" s="133"/>
    </row>
    <row r="287" spans="2:10" ht="19.899999999999999" customHeight="1">
      <c r="B287" s="226"/>
      <c r="C287" s="220"/>
      <c r="J287" s="133"/>
    </row>
    <row r="288" spans="2:10" ht="19.899999999999999" customHeight="1">
      <c r="B288" s="226"/>
      <c r="C288" s="220"/>
      <c r="J288" s="133"/>
    </row>
    <row r="289" spans="2:17" ht="19.899999999999999" customHeight="1">
      <c r="B289" s="226"/>
      <c r="C289" s="220"/>
      <c r="J289" s="133"/>
    </row>
    <row r="290" spans="2:17" ht="19.899999999999999" customHeight="1">
      <c r="B290" s="226"/>
      <c r="C290" s="220"/>
      <c r="J290" s="133"/>
    </row>
    <row r="291" spans="2:17" ht="19.899999999999999" customHeight="1">
      <c r="B291" s="226"/>
      <c r="C291" s="220"/>
      <c r="J291" s="133"/>
    </row>
    <row r="292" spans="2:17" ht="19.899999999999999" customHeight="1">
      <c r="B292" s="226"/>
      <c r="C292" s="220"/>
      <c r="J292" s="133"/>
    </row>
    <row r="293" spans="2:17" ht="19.899999999999999" customHeight="1">
      <c r="B293" s="226"/>
      <c r="C293" s="220"/>
      <c r="J293" s="133"/>
    </row>
    <row r="294" spans="2:17" ht="19.899999999999999" customHeight="1">
      <c r="B294" s="226"/>
      <c r="C294" s="220"/>
      <c r="J294" s="133"/>
      <c r="Q294" s="137"/>
    </row>
    <row r="295" spans="2:17" ht="19.899999999999999" customHeight="1">
      <c r="B295" s="226"/>
      <c r="C295" s="220"/>
      <c r="J295" s="133"/>
    </row>
    <row r="296" spans="2:17" ht="19.899999999999999" customHeight="1">
      <c r="B296" s="226"/>
      <c r="C296" s="220"/>
      <c r="J296" s="133"/>
    </row>
    <row r="297" spans="2:17" ht="19.899999999999999" customHeight="1">
      <c r="B297" s="226"/>
      <c r="C297" s="220"/>
      <c r="J297" s="133"/>
    </row>
    <row r="298" spans="2:17" ht="19.899999999999999" customHeight="1">
      <c r="B298" s="226"/>
      <c r="C298" s="220"/>
      <c r="J298" s="133"/>
      <c r="Q298" s="137"/>
    </row>
    <row r="299" spans="2:17" ht="19.899999999999999" customHeight="1">
      <c r="B299" s="226"/>
      <c r="C299" s="220"/>
      <c r="J299" s="133"/>
    </row>
    <row r="300" spans="2:17" ht="19.899999999999999" customHeight="1">
      <c r="B300" s="226"/>
      <c r="C300" s="220"/>
      <c r="J300" s="133"/>
    </row>
    <row r="301" spans="2:17" ht="19.899999999999999" customHeight="1">
      <c r="B301" s="226"/>
      <c r="C301" s="220"/>
      <c r="J301" s="133"/>
    </row>
    <row r="302" spans="2:17" ht="19.899999999999999" customHeight="1">
      <c r="B302" s="226"/>
      <c r="C302" s="220"/>
      <c r="J302" s="133"/>
    </row>
    <row r="303" spans="2:17" ht="19.899999999999999" customHeight="1">
      <c r="B303" s="226"/>
      <c r="C303" s="220"/>
      <c r="J303" s="133"/>
    </row>
    <row r="304" spans="2:17" ht="19.899999999999999" customHeight="1">
      <c r="B304" s="226"/>
      <c r="C304" s="220"/>
      <c r="J304" s="133"/>
    </row>
    <row r="305" spans="2:10" ht="19.899999999999999" customHeight="1">
      <c r="B305" s="226"/>
      <c r="C305" s="220"/>
      <c r="J305" s="133"/>
    </row>
    <row r="306" spans="2:10" ht="19.899999999999999" customHeight="1">
      <c r="B306" s="226"/>
      <c r="C306" s="220"/>
      <c r="J306" s="133"/>
    </row>
    <row r="307" spans="2:10" ht="19.899999999999999" customHeight="1">
      <c r="B307" s="226"/>
      <c r="C307" s="220"/>
      <c r="J307" s="133"/>
    </row>
    <row r="308" spans="2:10" ht="19.899999999999999" customHeight="1">
      <c r="B308" s="226"/>
      <c r="C308" s="220"/>
      <c r="J308" s="133"/>
    </row>
    <row r="309" spans="2:10" ht="19.899999999999999" customHeight="1">
      <c r="B309" s="226"/>
      <c r="C309" s="220"/>
      <c r="J309" s="133"/>
    </row>
    <row r="310" spans="2:10" ht="19.899999999999999" customHeight="1">
      <c r="B310" s="226"/>
      <c r="C310" s="220"/>
      <c r="J310" s="133"/>
    </row>
    <row r="311" spans="2:10" ht="19.899999999999999" customHeight="1">
      <c r="B311" s="226"/>
      <c r="C311" s="220"/>
      <c r="J311" s="133"/>
    </row>
    <row r="312" spans="2:10" ht="19.899999999999999" customHeight="1">
      <c r="B312" s="226"/>
      <c r="C312" s="220"/>
      <c r="J312" s="133"/>
    </row>
    <row r="313" spans="2:10" ht="19.899999999999999" customHeight="1">
      <c r="B313" s="226"/>
      <c r="C313" s="220"/>
      <c r="J313" s="133"/>
    </row>
    <row r="314" spans="2:10" ht="19.899999999999999" customHeight="1">
      <c r="B314" s="226"/>
      <c r="C314" s="220"/>
      <c r="J314" s="133"/>
    </row>
    <row r="315" spans="2:10" ht="19.899999999999999" customHeight="1">
      <c r="B315" s="226"/>
      <c r="C315" s="220"/>
      <c r="J315" s="133"/>
    </row>
    <row r="316" spans="2:10" ht="19.899999999999999" customHeight="1">
      <c r="B316" s="226"/>
      <c r="C316" s="220"/>
      <c r="J316" s="133"/>
    </row>
    <row r="317" spans="2:10" ht="19.899999999999999" customHeight="1">
      <c r="B317" s="226"/>
      <c r="C317" s="220"/>
      <c r="J317" s="133"/>
    </row>
    <row r="318" spans="2:10" ht="19.899999999999999" customHeight="1">
      <c r="B318" s="226"/>
      <c r="C318" s="220"/>
      <c r="J318" s="133"/>
    </row>
    <row r="319" spans="2:10" ht="19.899999999999999" customHeight="1">
      <c r="B319" s="226"/>
      <c r="C319" s="220"/>
      <c r="J319" s="133"/>
    </row>
    <row r="320" spans="2:10" ht="19.899999999999999" customHeight="1">
      <c r="B320" s="226"/>
      <c r="C320" s="220"/>
      <c r="J320" s="133"/>
    </row>
    <row r="321" spans="2:10" ht="19.899999999999999" customHeight="1">
      <c r="B321" s="226"/>
      <c r="C321" s="220"/>
      <c r="J321" s="133"/>
    </row>
    <row r="322" spans="2:10" ht="19.899999999999999" customHeight="1">
      <c r="B322" s="226"/>
      <c r="C322" s="220"/>
      <c r="J322" s="133"/>
    </row>
    <row r="323" spans="2:10" ht="19.899999999999999" customHeight="1">
      <c r="B323" s="226"/>
      <c r="C323" s="220"/>
      <c r="J323" s="133"/>
    </row>
    <row r="324" spans="2:10" ht="19.899999999999999" customHeight="1">
      <c r="B324" s="226"/>
      <c r="C324" s="220"/>
      <c r="J324" s="133"/>
    </row>
    <row r="325" spans="2:10" ht="19.899999999999999" customHeight="1">
      <c r="B325" s="226"/>
      <c r="C325" s="220"/>
      <c r="J325" s="133"/>
    </row>
    <row r="326" spans="2:10" ht="19.899999999999999" customHeight="1">
      <c r="B326" s="226"/>
      <c r="C326" s="220"/>
      <c r="J326" s="133"/>
    </row>
    <row r="327" spans="2:10" ht="19.899999999999999" customHeight="1">
      <c r="B327" s="226"/>
      <c r="C327" s="220"/>
      <c r="J327" s="133"/>
    </row>
    <row r="328" spans="2:10" ht="19.899999999999999" customHeight="1">
      <c r="B328" s="226"/>
      <c r="C328" s="220"/>
      <c r="J328" s="133"/>
    </row>
    <row r="329" spans="2:10" ht="19.899999999999999" customHeight="1">
      <c r="B329" s="226"/>
      <c r="C329" s="220"/>
      <c r="J329" s="133"/>
    </row>
    <row r="330" spans="2:10" ht="19.899999999999999" customHeight="1">
      <c r="B330" s="226"/>
      <c r="C330" s="220"/>
      <c r="J330" s="133"/>
    </row>
    <row r="331" spans="2:10" ht="19.899999999999999" customHeight="1">
      <c r="B331" s="226"/>
      <c r="C331" s="220"/>
      <c r="J331" s="133"/>
    </row>
    <row r="332" spans="2:10" ht="19.899999999999999" customHeight="1">
      <c r="B332" s="226"/>
      <c r="C332" s="220"/>
      <c r="J332" s="133"/>
    </row>
    <row r="333" spans="2:10" ht="19.899999999999999" customHeight="1">
      <c r="B333" s="226"/>
      <c r="C333" s="220"/>
      <c r="J333" s="133"/>
    </row>
    <row r="334" spans="2:10" ht="19.899999999999999" customHeight="1">
      <c r="B334" s="226"/>
      <c r="C334" s="220"/>
      <c r="J334" s="133"/>
    </row>
    <row r="335" spans="2:10" ht="19.899999999999999" customHeight="1">
      <c r="B335" s="226"/>
      <c r="C335" s="220"/>
      <c r="J335" s="133"/>
    </row>
    <row r="336" spans="2:10" ht="19.899999999999999" customHeight="1">
      <c r="B336" s="226"/>
      <c r="C336" s="220"/>
      <c r="J336" s="133"/>
    </row>
    <row r="337" spans="2:17" ht="19.899999999999999" customHeight="1">
      <c r="B337" s="226"/>
      <c r="C337" s="220"/>
      <c r="J337" s="133"/>
    </row>
    <row r="338" spans="2:17" ht="19.899999999999999" customHeight="1">
      <c r="B338" s="226"/>
      <c r="C338" s="220"/>
      <c r="J338" s="133"/>
    </row>
    <row r="339" spans="2:17" ht="19.899999999999999" customHeight="1">
      <c r="B339" s="226"/>
      <c r="C339" s="220"/>
      <c r="J339" s="133"/>
    </row>
    <row r="340" spans="2:17" ht="19.899999999999999" customHeight="1">
      <c r="B340" s="226"/>
      <c r="C340" s="220"/>
      <c r="J340" s="133"/>
    </row>
    <row r="341" spans="2:17" ht="19.899999999999999" customHeight="1">
      <c r="B341" s="226"/>
      <c r="C341" s="220"/>
      <c r="J341" s="133"/>
    </row>
    <row r="342" spans="2:17" ht="19.899999999999999" customHeight="1">
      <c r="B342" s="226"/>
      <c r="C342" s="220"/>
      <c r="J342" s="133"/>
    </row>
    <row r="343" spans="2:17" ht="19.899999999999999" customHeight="1">
      <c r="B343" s="226"/>
      <c r="C343" s="220"/>
      <c r="J343" s="133"/>
    </row>
    <row r="344" spans="2:17" ht="19.899999999999999" customHeight="1">
      <c r="B344" s="226"/>
      <c r="C344" s="220"/>
      <c r="J344" s="133"/>
    </row>
    <row r="345" spans="2:17" ht="19.899999999999999" customHeight="1">
      <c r="B345" s="226"/>
      <c r="C345" s="220"/>
      <c r="J345" s="133"/>
    </row>
    <row r="346" spans="2:17" ht="19.899999999999999" customHeight="1">
      <c r="B346" s="226"/>
      <c r="C346" s="220"/>
      <c r="J346" s="133"/>
    </row>
    <row r="347" spans="2:17" ht="19.899999999999999" customHeight="1">
      <c r="B347" s="226"/>
      <c r="C347" s="220"/>
      <c r="J347" s="133"/>
    </row>
    <row r="348" spans="2:17" ht="19.899999999999999" customHeight="1">
      <c r="B348" s="226"/>
      <c r="C348" s="220"/>
      <c r="J348" s="133"/>
    </row>
    <row r="349" spans="2:17" ht="19.899999999999999" customHeight="1">
      <c r="B349" s="226"/>
      <c r="C349" s="220"/>
      <c r="J349" s="133"/>
    </row>
    <row r="350" spans="2:17" ht="19.899999999999999" customHeight="1">
      <c r="B350" s="226"/>
      <c r="C350" s="220"/>
      <c r="J350" s="133"/>
    </row>
    <row r="351" spans="2:17" ht="19.899999999999999" customHeight="1">
      <c r="B351" s="226"/>
      <c r="C351" s="220"/>
      <c r="J351" s="133"/>
      <c r="Q351" s="137"/>
    </row>
    <row r="352" spans="2:17" ht="19.899999999999999" customHeight="1">
      <c r="B352" s="226"/>
      <c r="C352" s="220"/>
      <c r="J352" s="133"/>
    </row>
    <row r="353" spans="2:10" ht="19.899999999999999" customHeight="1">
      <c r="B353" s="226"/>
      <c r="C353" s="220"/>
      <c r="J353" s="133"/>
    </row>
    <row r="354" spans="2:10" ht="19.899999999999999" customHeight="1">
      <c r="B354" s="226"/>
      <c r="C354" s="220"/>
      <c r="J354" s="133"/>
    </row>
    <row r="355" spans="2:10" ht="19.899999999999999" customHeight="1">
      <c r="B355" s="226"/>
      <c r="C355" s="220"/>
      <c r="J355" s="133"/>
    </row>
    <row r="356" spans="2:10" ht="19.899999999999999" customHeight="1">
      <c r="B356" s="226"/>
      <c r="C356" s="220"/>
      <c r="J356" s="133"/>
    </row>
    <row r="357" spans="2:10" ht="19.899999999999999" customHeight="1">
      <c r="B357" s="226"/>
      <c r="C357" s="220"/>
      <c r="J357" s="133"/>
    </row>
    <row r="358" spans="2:10" ht="19.899999999999999" customHeight="1">
      <c r="B358" s="226"/>
      <c r="C358" s="220"/>
      <c r="J358" s="133"/>
    </row>
    <row r="359" spans="2:10" ht="19.899999999999999" customHeight="1">
      <c r="B359" s="226"/>
      <c r="C359" s="220"/>
      <c r="J359" s="133"/>
    </row>
    <row r="360" spans="2:10" ht="19.899999999999999" customHeight="1">
      <c r="B360" s="226"/>
      <c r="C360" s="220"/>
      <c r="J360" s="133"/>
    </row>
    <row r="361" spans="2:10" ht="19.899999999999999" customHeight="1">
      <c r="B361" s="226"/>
      <c r="C361" s="220"/>
      <c r="J361" s="133"/>
    </row>
    <row r="362" spans="2:10" ht="19.899999999999999" customHeight="1">
      <c r="B362" s="226"/>
      <c r="C362" s="220"/>
      <c r="J362" s="133"/>
    </row>
    <row r="363" spans="2:10" ht="19.899999999999999" customHeight="1">
      <c r="B363" s="226"/>
      <c r="C363" s="220"/>
      <c r="J363" s="133"/>
    </row>
    <row r="364" spans="2:10" ht="19.899999999999999" customHeight="1">
      <c r="B364" s="226"/>
      <c r="C364" s="220"/>
      <c r="J364" s="133"/>
    </row>
    <row r="365" spans="2:10" ht="19.899999999999999" customHeight="1">
      <c r="B365" s="226"/>
      <c r="C365" s="220"/>
      <c r="J365" s="133"/>
    </row>
    <row r="366" spans="2:10" ht="19.899999999999999" customHeight="1">
      <c r="B366" s="226"/>
      <c r="C366" s="220"/>
      <c r="J366" s="133"/>
    </row>
    <row r="367" spans="2:10" ht="19.899999999999999" customHeight="1">
      <c r="B367" s="226"/>
      <c r="C367" s="220"/>
      <c r="J367" s="133"/>
    </row>
    <row r="368" spans="2:10" ht="19.899999999999999" customHeight="1">
      <c r="B368" s="226"/>
      <c r="C368" s="220"/>
      <c r="J368" s="133"/>
    </row>
    <row r="369" spans="2:10" ht="19.899999999999999" customHeight="1">
      <c r="B369" s="226"/>
      <c r="C369" s="220"/>
      <c r="J369" s="133"/>
    </row>
    <row r="370" spans="2:10" ht="19.899999999999999" customHeight="1">
      <c r="B370" s="226"/>
      <c r="C370" s="220"/>
      <c r="J370" s="133"/>
    </row>
    <row r="371" spans="2:10" ht="19.899999999999999" customHeight="1">
      <c r="B371" s="226"/>
      <c r="C371" s="220"/>
      <c r="J371" s="133"/>
    </row>
    <row r="372" spans="2:10" ht="19.899999999999999" customHeight="1">
      <c r="B372" s="226"/>
      <c r="C372" s="220"/>
      <c r="J372" s="133"/>
    </row>
    <row r="373" spans="2:10" ht="19.899999999999999" customHeight="1">
      <c r="B373" s="226"/>
      <c r="C373" s="220"/>
      <c r="J373" s="133"/>
    </row>
    <row r="374" spans="2:10" ht="19.899999999999999" customHeight="1">
      <c r="B374" s="226"/>
      <c r="C374" s="220"/>
      <c r="J374" s="133"/>
    </row>
    <row r="375" spans="2:10" ht="19.899999999999999" customHeight="1">
      <c r="B375" s="226"/>
      <c r="C375" s="220"/>
      <c r="J375" s="133"/>
    </row>
    <row r="376" spans="2:10" ht="19.899999999999999" customHeight="1">
      <c r="B376" s="226"/>
      <c r="C376" s="220"/>
      <c r="J376" s="133"/>
    </row>
    <row r="377" spans="2:10" ht="19.899999999999999" customHeight="1">
      <c r="B377" s="226"/>
      <c r="C377" s="220"/>
      <c r="J377" s="133"/>
    </row>
    <row r="378" spans="2:10" ht="19.899999999999999" customHeight="1">
      <c r="B378" s="226"/>
      <c r="C378" s="220"/>
      <c r="J378" s="133"/>
    </row>
    <row r="379" spans="2:10" ht="19.899999999999999" customHeight="1">
      <c r="B379" s="226"/>
      <c r="C379" s="220"/>
      <c r="J379" s="133"/>
    </row>
    <row r="380" spans="2:10" ht="19.899999999999999" customHeight="1">
      <c r="B380" s="226"/>
      <c r="C380" s="220"/>
      <c r="J380" s="133"/>
    </row>
    <row r="381" spans="2:10" ht="19.899999999999999" customHeight="1">
      <c r="B381" s="226"/>
      <c r="C381" s="220"/>
      <c r="J381" s="133"/>
    </row>
    <row r="382" spans="2:10" ht="19.899999999999999" customHeight="1">
      <c r="B382" s="226"/>
      <c r="C382" s="220"/>
      <c r="J382" s="133"/>
    </row>
    <row r="383" spans="2:10" ht="19.899999999999999" customHeight="1">
      <c r="B383" s="226"/>
      <c r="C383" s="220"/>
      <c r="J383" s="133"/>
    </row>
    <row r="384" spans="2:10" ht="19.899999999999999" customHeight="1">
      <c r="B384" s="226"/>
      <c r="C384" s="220"/>
      <c r="J384" s="133"/>
    </row>
    <row r="385" spans="2:10" ht="19.899999999999999" customHeight="1">
      <c r="B385" s="226"/>
      <c r="C385" s="220"/>
      <c r="J385" s="133"/>
    </row>
    <row r="386" spans="2:10" ht="19.899999999999999" customHeight="1">
      <c r="B386" s="226"/>
      <c r="C386" s="220"/>
      <c r="J386" s="133"/>
    </row>
    <row r="387" spans="2:10" ht="19.899999999999999" customHeight="1">
      <c r="B387" s="226"/>
      <c r="C387" s="220"/>
      <c r="J387" s="133"/>
    </row>
    <row r="388" spans="2:10" ht="19.899999999999999" customHeight="1">
      <c r="B388" s="226"/>
      <c r="C388" s="220"/>
      <c r="J388" s="133"/>
    </row>
    <row r="389" spans="2:10" ht="19.899999999999999" customHeight="1">
      <c r="B389" s="226"/>
      <c r="C389" s="220"/>
      <c r="J389" s="133"/>
    </row>
    <row r="390" spans="2:10" ht="19.899999999999999" customHeight="1">
      <c r="B390" s="226"/>
      <c r="C390" s="220"/>
      <c r="J390" s="133"/>
    </row>
    <row r="391" spans="2:10" ht="19.899999999999999" customHeight="1">
      <c r="B391" s="226"/>
      <c r="C391" s="220"/>
      <c r="J391" s="133"/>
    </row>
    <row r="392" spans="2:10" ht="19.899999999999999" customHeight="1">
      <c r="B392" s="226"/>
      <c r="C392" s="220"/>
      <c r="J392" s="133"/>
    </row>
    <row r="393" spans="2:10" ht="19.899999999999999" customHeight="1">
      <c r="B393" s="226"/>
      <c r="C393" s="220"/>
      <c r="J393" s="133"/>
    </row>
    <row r="394" spans="2:10" ht="19.899999999999999" customHeight="1">
      <c r="B394" s="226"/>
      <c r="C394" s="220"/>
      <c r="J394" s="133"/>
    </row>
    <row r="395" spans="2:10" ht="19.899999999999999" customHeight="1">
      <c r="B395" s="226"/>
      <c r="C395" s="220"/>
      <c r="J395" s="133"/>
    </row>
    <row r="396" spans="2:10" ht="19.899999999999999" customHeight="1">
      <c r="B396" s="226"/>
      <c r="C396" s="220"/>
      <c r="J396" s="133"/>
    </row>
    <row r="397" spans="2:10" ht="19.899999999999999" customHeight="1">
      <c r="B397" s="226"/>
      <c r="C397" s="220"/>
      <c r="J397" s="133"/>
    </row>
    <row r="398" spans="2:10" ht="19.899999999999999" customHeight="1">
      <c r="B398" s="226"/>
      <c r="C398" s="220"/>
      <c r="J398" s="133"/>
    </row>
    <row r="399" spans="2:10" ht="19.899999999999999" customHeight="1">
      <c r="B399" s="226"/>
      <c r="C399" s="220"/>
      <c r="J399" s="133"/>
    </row>
    <row r="400" spans="2:10" ht="19.899999999999999" customHeight="1">
      <c r="B400" s="226"/>
      <c r="C400" s="220"/>
      <c r="J400" s="133"/>
    </row>
    <row r="401" spans="2:10" ht="19.899999999999999" customHeight="1">
      <c r="B401" s="226"/>
      <c r="C401" s="220"/>
      <c r="J401" s="133"/>
    </row>
    <row r="402" spans="2:10" ht="19.899999999999999" customHeight="1">
      <c r="B402" s="226"/>
      <c r="C402" s="220"/>
      <c r="J402" s="133"/>
    </row>
    <row r="403" spans="2:10" ht="19.899999999999999" customHeight="1">
      <c r="B403" s="226"/>
      <c r="C403" s="220"/>
      <c r="J403" s="133"/>
    </row>
    <row r="404" spans="2:10" ht="19.899999999999999" customHeight="1">
      <c r="B404" s="226"/>
      <c r="C404" s="220"/>
      <c r="J404" s="133"/>
    </row>
    <row r="405" spans="2:10" ht="19.899999999999999" customHeight="1">
      <c r="B405" s="226"/>
      <c r="C405" s="220"/>
      <c r="J405" s="133"/>
    </row>
    <row r="406" spans="2:10" ht="19.899999999999999" customHeight="1">
      <c r="B406" s="226"/>
      <c r="C406" s="220"/>
      <c r="J406" s="133"/>
    </row>
    <row r="407" spans="2:10" ht="19.899999999999999" customHeight="1">
      <c r="B407" s="226"/>
      <c r="C407" s="220"/>
      <c r="J407" s="133"/>
    </row>
    <row r="408" spans="2:10" ht="19.899999999999999" customHeight="1">
      <c r="B408" s="226"/>
      <c r="C408" s="220"/>
      <c r="J408" s="133"/>
    </row>
    <row r="409" spans="2:10" ht="19.899999999999999" customHeight="1">
      <c r="B409" s="226"/>
      <c r="C409" s="220"/>
      <c r="J409" s="133"/>
    </row>
    <row r="410" spans="2:10" ht="19.899999999999999" customHeight="1">
      <c r="B410" s="226"/>
      <c r="C410" s="220"/>
      <c r="J410" s="133"/>
    </row>
    <row r="411" spans="2:10" ht="19.899999999999999" customHeight="1">
      <c r="B411" s="226"/>
      <c r="C411" s="220"/>
      <c r="J411" s="133"/>
    </row>
    <row r="412" spans="2:10" ht="19.899999999999999" customHeight="1">
      <c r="B412" s="226"/>
      <c r="C412" s="220"/>
      <c r="J412" s="133"/>
    </row>
    <row r="413" spans="2:10" ht="19.899999999999999" customHeight="1">
      <c r="B413" s="226"/>
      <c r="C413" s="220"/>
      <c r="J413" s="133"/>
    </row>
    <row r="414" spans="2:10" ht="19.899999999999999" customHeight="1">
      <c r="B414" s="226"/>
      <c r="C414" s="220"/>
      <c r="J414" s="133"/>
    </row>
    <row r="415" spans="2:10" ht="19.899999999999999" customHeight="1">
      <c r="B415" s="226"/>
      <c r="C415" s="220"/>
      <c r="J415" s="133"/>
    </row>
    <row r="416" spans="2:10" ht="19.899999999999999" customHeight="1">
      <c r="B416" s="226"/>
      <c r="C416" s="220"/>
      <c r="J416" s="133"/>
    </row>
    <row r="417" spans="2:10" ht="19.899999999999999" customHeight="1">
      <c r="B417" s="226"/>
      <c r="C417" s="220"/>
      <c r="J417" s="133"/>
    </row>
    <row r="418" spans="2:10" ht="19.899999999999999" customHeight="1">
      <c r="B418" s="226"/>
      <c r="C418" s="220"/>
      <c r="J418" s="133"/>
    </row>
    <row r="419" spans="2:10" ht="19.899999999999999" customHeight="1">
      <c r="B419" s="226"/>
      <c r="C419" s="220"/>
      <c r="J419" s="133"/>
    </row>
    <row r="420" spans="2:10" ht="19.899999999999999" customHeight="1">
      <c r="B420" s="226"/>
      <c r="C420" s="220"/>
      <c r="J420" s="133"/>
    </row>
    <row r="421" spans="2:10" ht="19.899999999999999" customHeight="1">
      <c r="B421" s="226"/>
      <c r="C421" s="220"/>
      <c r="J421" s="133"/>
    </row>
    <row r="422" spans="2:10" ht="19.899999999999999" customHeight="1">
      <c r="B422" s="226"/>
      <c r="C422" s="220"/>
      <c r="J422" s="133"/>
    </row>
    <row r="423" spans="2:10" ht="19.899999999999999" customHeight="1">
      <c r="B423" s="226"/>
      <c r="C423" s="220"/>
      <c r="J423" s="133"/>
    </row>
    <row r="424" spans="2:10" ht="19.899999999999999" customHeight="1">
      <c r="B424" s="226"/>
      <c r="C424" s="220"/>
      <c r="J424" s="133"/>
    </row>
    <row r="425" spans="2:10" ht="19.899999999999999" customHeight="1">
      <c r="B425" s="226"/>
      <c r="C425" s="220"/>
      <c r="J425" s="133"/>
    </row>
    <row r="426" spans="2:10" ht="19.899999999999999" customHeight="1">
      <c r="B426" s="226"/>
      <c r="C426" s="220"/>
      <c r="J426" s="133"/>
    </row>
    <row r="427" spans="2:10" ht="19.899999999999999" customHeight="1">
      <c r="B427" s="226"/>
      <c r="C427" s="220"/>
      <c r="J427" s="133"/>
    </row>
    <row r="428" spans="2:10" ht="19.899999999999999" customHeight="1">
      <c r="B428" s="226"/>
      <c r="C428" s="220"/>
      <c r="J428" s="133"/>
    </row>
    <row r="429" spans="2:10" ht="19.899999999999999" customHeight="1">
      <c r="B429" s="226"/>
      <c r="C429" s="220"/>
      <c r="J429" s="133"/>
    </row>
    <row r="430" spans="2:10" ht="19.899999999999999" customHeight="1">
      <c r="B430" s="226"/>
      <c r="C430" s="220"/>
      <c r="J430" s="133"/>
    </row>
    <row r="431" spans="2:10" ht="19.899999999999999" customHeight="1">
      <c r="B431" s="226"/>
      <c r="C431" s="220"/>
      <c r="J431" s="133"/>
    </row>
    <row r="432" spans="2:10" ht="19.899999999999999" customHeight="1">
      <c r="B432" s="226"/>
      <c r="C432" s="220"/>
      <c r="J432" s="133"/>
    </row>
    <row r="433" spans="2:17" ht="19.899999999999999" customHeight="1">
      <c r="B433" s="226"/>
      <c r="C433" s="220"/>
      <c r="J433" s="133"/>
    </row>
    <row r="434" spans="2:17" ht="19.899999999999999" customHeight="1">
      <c r="B434" s="226"/>
      <c r="C434" s="220"/>
      <c r="J434" s="133"/>
    </row>
    <row r="435" spans="2:17" ht="19.899999999999999" customHeight="1">
      <c r="B435" s="226"/>
      <c r="C435" s="220"/>
      <c r="J435" s="133"/>
    </row>
    <row r="436" spans="2:17" ht="19.899999999999999" customHeight="1">
      <c r="B436" s="226"/>
      <c r="C436" s="220"/>
      <c r="J436" s="133"/>
      <c r="Q436" s="137"/>
    </row>
    <row r="437" spans="2:17" ht="19.899999999999999" customHeight="1">
      <c r="B437" s="226"/>
      <c r="C437" s="220"/>
      <c r="J437" s="133"/>
    </row>
    <row r="438" spans="2:17" ht="19.899999999999999" customHeight="1">
      <c r="B438" s="226"/>
      <c r="C438" s="220"/>
      <c r="J438" s="133"/>
    </row>
    <row r="439" spans="2:17" ht="19.899999999999999" customHeight="1">
      <c r="B439" s="226"/>
      <c r="C439" s="220"/>
      <c r="J439" s="133"/>
    </row>
    <row r="440" spans="2:17" ht="19.899999999999999" customHeight="1">
      <c r="B440" s="226"/>
      <c r="C440" s="220"/>
      <c r="J440" s="133"/>
    </row>
    <row r="441" spans="2:17" ht="19.899999999999999" customHeight="1">
      <c r="B441" s="226"/>
      <c r="C441" s="220"/>
      <c r="J441" s="133"/>
    </row>
    <row r="442" spans="2:17" ht="19.899999999999999" customHeight="1">
      <c r="B442" s="226"/>
      <c r="C442" s="220"/>
      <c r="J442" s="133"/>
    </row>
    <row r="443" spans="2:17" ht="19.899999999999999" customHeight="1">
      <c r="B443" s="226"/>
      <c r="C443" s="220"/>
      <c r="J443" s="133"/>
    </row>
    <row r="444" spans="2:17" ht="19.899999999999999" customHeight="1">
      <c r="B444" s="226"/>
      <c r="C444" s="220"/>
      <c r="J444" s="133"/>
    </row>
    <row r="445" spans="2:17" ht="19.899999999999999" customHeight="1">
      <c r="B445" s="226"/>
      <c r="C445" s="220"/>
      <c r="J445" s="133"/>
    </row>
    <row r="446" spans="2:17" ht="19.899999999999999" customHeight="1">
      <c r="B446" s="226"/>
      <c r="C446" s="220"/>
      <c r="J446" s="133"/>
    </row>
    <row r="447" spans="2:17" ht="19.899999999999999" customHeight="1">
      <c r="B447" s="226"/>
      <c r="C447" s="220"/>
      <c r="J447" s="133"/>
    </row>
    <row r="448" spans="2:17" ht="19.899999999999999" customHeight="1">
      <c r="B448" s="226"/>
      <c r="C448" s="220"/>
      <c r="J448" s="133"/>
    </row>
    <row r="449" spans="2:17" ht="19.899999999999999" customHeight="1">
      <c r="B449" s="226"/>
      <c r="C449" s="220"/>
      <c r="J449" s="133"/>
    </row>
    <row r="450" spans="2:17" ht="19.899999999999999" customHeight="1">
      <c r="B450" s="226"/>
      <c r="C450" s="220"/>
      <c r="J450" s="133"/>
    </row>
    <row r="451" spans="2:17" ht="19.899999999999999" customHeight="1">
      <c r="B451" s="226"/>
      <c r="C451" s="220"/>
      <c r="J451" s="133"/>
    </row>
    <row r="452" spans="2:17" ht="19.899999999999999" customHeight="1">
      <c r="B452" s="226"/>
      <c r="C452" s="220"/>
      <c r="J452" s="133"/>
    </row>
    <row r="453" spans="2:17" ht="19.899999999999999" customHeight="1">
      <c r="B453" s="226"/>
      <c r="C453" s="220"/>
      <c r="J453" s="133"/>
    </row>
    <row r="454" spans="2:17" ht="19.899999999999999" customHeight="1">
      <c r="B454" s="226"/>
      <c r="C454" s="220"/>
      <c r="J454" s="133"/>
    </row>
    <row r="455" spans="2:17" ht="19.899999999999999" customHeight="1">
      <c r="B455" s="226"/>
      <c r="C455" s="220"/>
      <c r="J455" s="133"/>
      <c r="Q455" s="137"/>
    </row>
    <row r="456" spans="2:17" ht="19.899999999999999" customHeight="1">
      <c r="B456" s="226"/>
      <c r="C456" s="220"/>
      <c r="J456" s="133"/>
    </row>
    <row r="457" spans="2:17" ht="19.899999999999999" customHeight="1">
      <c r="B457" s="226"/>
      <c r="C457" s="220"/>
      <c r="J457" s="133"/>
    </row>
    <row r="458" spans="2:17" ht="19.899999999999999" customHeight="1">
      <c r="B458" s="226"/>
      <c r="C458" s="220"/>
      <c r="J458" s="133"/>
    </row>
    <row r="459" spans="2:17" ht="19.899999999999999" customHeight="1">
      <c r="B459" s="226"/>
      <c r="C459" s="220"/>
      <c r="J459" s="133"/>
    </row>
    <row r="460" spans="2:17" ht="19.899999999999999" customHeight="1">
      <c r="B460" s="226"/>
      <c r="C460" s="220"/>
      <c r="J460" s="133"/>
    </row>
    <row r="461" spans="2:17" ht="19.899999999999999" customHeight="1">
      <c r="B461" s="226"/>
      <c r="C461" s="220"/>
      <c r="J461" s="133"/>
    </row>
    <row r="462" spans="2:17" ht="19.899999999999999" customHeight="1">
      <c r="B462" s="226"/>
      <c r="C462" s="220"/>
      <c r="J462" s="133"/>
    </row>
    <row r="463" spans="2:17" ht="19.899999999999999" customHeight="1">
      <c r="B463" s="226"/>
      <c r="C463" s="220"/>
      <c r="J463" s="133"/>
    </row>
    <row r="464" spans="2:17" ht="19.899999999999999" customHeight="1">
      <c r="B464" s="226"/>
      <c r="C464" s="220"/>
      <c r="J464" s="133"/>
    </row>
    <row r="465" spans="2:10" ht="19.899999999999999" customHeight="1">
      <c r="B465" s="226"/>
      <c r="C465" s="220"/>
      <c r="J465" s="133"/>
    </row>
    <row r="466" spans="2:10" ht="19.899999999999999" customHeight="1">
      <c r="B466" s="226"/>
      <c r="C466" s="220"/>
      <c r="J466" s="133"/>
    </row>
    <row r="467" spans="2:10" ht="19.899999999999999" customHeight="1">
      <c r="B467" s="226"/>
      <c r="C467" s="220"/>
      <c r="J467" s="133"/>
    </row>
    <row r="468" spans="2:10" ht="19.899999999999999" customHeight="1">
      <c r="B468" s="226"/>
      <c r="C468" s="220"/>
      <c r="J468" s="133"/>
    </row>
    <row r="469" spans="2:10" ht="19.899999999999999" customHeight="1">
      <c r="B469" s="226"/>
      <c r="C469" s="220"/>
      <c r="J469" s="133"/>
    </row>
    <row r="470" spans="2:10" ht="19.899999999999999" customHeight="1">
      <c r="B470" s="226"/>
      <c r="C470" s="220"/>
      <c r="J470" s="133"/>
    </row>
    <row r="471" spans="2:10" ht="19.899999999999999" customHeight="1">
      <c r="B471" s="226"/>
      <c r="C471" s="220"/>
      <c r="J471" s="133"/>
    </row>
    <row r="472" spans="2:10" ht="19.899999999999999" customHeight="1">
      <c r="B472" s="226"/>
      <c r="C472" s="220"/>
      <c r="J472" s="133"/>
    </row>
    <row r="473" spans="2:10" ht="19.899999999999999" customHeight="1">
      <c r="B473" s="226"/>
      <c r="C473" s="220"/>
      <c r="J473" s="133"/>
    </row>
    <row r="474" spans="2:10" ht="19.899999999999999" customHeight="1">
      <c r="B474" s="226"/>
      <c r="C474" s="220"/>
      <c r="J474" s="133"/>
    </row>
    <row r="475" spans="2:10" ht="19.899999999999999" customHeight="1">
      <c r="B475" s="226"/>
      <c r="C475" s="220"/>
      <c r="J475" s="133"/>
    </row>
    <row r="476" spans="2:10" ht="19.899999999999999" customHeight="1">
      <c r="B476" s="226"/>
      <c r="C476" s="220"/>
      <c r="J476" s="133"/>
    </row>
    <row r="477" spans="2:10" ht="19.899999999999999" customHeight="1">
      <c r="B477" s="226"/>
      <c r="C477" s="220"/>
      <c r="J477" s="133"/>
    </row>
    <row r="478" spans="2:10" ht="19.899999999999999" customHeight="1">
      <c r="B478" s="226"/>
      <c r="C478" s="220"/>
      <c r="J478" s="133"/>
    </row>
    <row r="479" spans="2:10" ht="19.899999999999999" customHeight="1">
      <c r="B479" s="226"/>
      <c r="C479" s="220"/>
      <c r="J479" s="133"/>
    </row>
    <row r="480" spans="2:10" ht="19.899999999999999" customHeight="1">
      <c r="B480" s="226"/>
      <c r="C480" s="220"/>
      <c r="J480" s="133"/>
    </row>
    <row r="481" spans="2:10" ht="19.899999999999999" customHeight="1">
      <c r="B481" s="226"/>
      <c r="C481" s="220"/>
      <c r="J481" s="133"/>
    </row>
    <row r="482" spans="2:10" ht="19.899999999999999" customHeight="1">
      <c r="B482" s="226"/>
      <c r="C482" s="220"/>
      <c r="J482" s="133"/>
    </row>
    <row r="483" spans="2:10" ht="19.899999999999999" customHeight="1">
      <c r="B483" s="226"/>
      <c r="C483" s="220"/>
      <c r="J483" s="133"/>
    </row>
    <row r="484" spans="2:10" ht="19.899999999999999" customHeight="1">
      <c r="B484" s="226"/>
      <c r="C484" s="220"/>
      <c r="J484" s="133"/>
    </row>
    <row r="485" spans="2:10" ht="19.899999999999999" customHeight="1">
      <c r="B485" s="226"/>
      <c r="C485" s="220"/>
      <c r="J485" s="133"/>
    </row>
    <row r="486" spans="2:10" ht="19.899999999999999" customHeight="1">
      <c r="B486" s="226"/>
      <c r="C486" s="220"/>
      <c r="J486" s="133"/>
    </row>
    <row r="487" spans="2:10" ht="19.899999999999999" customHeight="1">
      <c r="B487" s="226"/>
      <c r="C487" s="220"/>
      <c r="J487" s="133"/>
    </row>
    <row r="488" spans="2:10" ht="19.899999999999999" customHeight="1">
      <c r="B488" s="226"/>
      <c r="C488" s="220"/>
      <c r="J488" s="133"/>
    </row>
    <row r="489" spans="2:10" ht="19.899999999999999" customHeight="1">
      <c r="B489" s="226"/>
      <c r="C489" s="220"/>
      <c r="J489" s="133"/>
    </row>
    <row r="490" spans="2:10" ht="19.899999999999999" customHeight="1">
      <c r="B490" s="226"/>
      <c r="C490" s="220"/>
      <c r="J490" s="133"/>
    </row>
    <row r="491" spans="2:10" ht="19.899999999999999" customHeight="1">
      <c r="B491" s="226"/>
      <c r="C491" s="220"/>
      <c r="J491" s="133"/>
    </row>
    <row r="492" spans="2:10" ht="19.899999999999999" customHeight="1">
      <c r="B492" s="226"/>
      <c r="C492" s="220"/>
      <c r="J492" s="133"/>
    </row>
    <row r="493" spans="2:10" ht="19.899999999999999" customHeight="1">
      <c r="B493" s="226"/>
      <c r="C493" s="220"/>
      <c r="J493" s="133"/>
    </row>
    <row r="494" spans="2:10" ht="19.899999999999999" customHeight="1">
      <c r="B494" s="226"/>
      <c r="C494" s="220"/>
      <c r="J494" s="133"/>
    </row>
    <row r="495" spans="2:10" ht="19.899999999999999" customHeight="1">
      <c r="B495" s="226"/>
      <c r="C495" s="220"/>
      <c r="J495" s="133"/>
    </row>
    <row r="496" spans="2:10" ht="19.899999999999999" customHeight="1">
      <c r="B496" s="226"/>
      <c r="C496" s="220"/>
      <c r="J496" s="133"/>
    </row>
    <row r="497" spans="2:10" ht="19.899999999999999" customHeight="1">
      <c r="B497" s="226"/>
      <c r="C497" s="220"/>
      <c r="J497" s="133"/>
    </row>
    <row r="498" spans="2:10" ht="19.899999999999999" customHeight="1">
      <c r="B498" s="226"/>
      <c r="C498" s="220"/>
      <c r="J498" s="133"/>
    </row>
    <row r="499" spans="2:10" ht="19.899999999999999" customHeight="1">
      <c r="B499" s="226"/>
      <c r="C499" s="220"/>
      <c r="J499" s="133"/>
    </row>
    <row r="500" spans="2:10" ht="19.899999999999999" customHeight="1">
      <c r="B500" s="226"/>
      <c r="C500" s="220"/>
      <c r="J500" s="133"/>
    </row>
    <row r="501" spans="2:10" ht="19.899999999999999" customHeight="1">
      <c r="B501" s="226"/>
      <c r="C501" s="220"/>
      <c r="J501" s="133"/>
    </row>
    <row r="502" spans="2:10" ht="19.899999999999999" customHeight="1">
      <c r="B502" s="226"/>
      <c r="C502" s="220"/>
      <c r="J502" s="133"/>
    </row>
    <row r="503" spans="2:10" ht="19.899999999999999" customHeight="1">
      <c r="B503" s="226"/>
      <c r="C503" s="220"/>
      <c r="J503" s="133"/>
    </row>
    <row r="504" spans="2:10" ht="19.899999999999999" customHeight="1">
      <c r="B504" s="226"/>
      <c r="C504" s="220"/>
      <c r="J504" s="133"/>
    </row>
    <row r="505" spans="2:10" ht="19.899999999999999" customHeight="1">
      <c r="B505" s="226"/>
      <c r="C505" s="220"/>
      <c r="J505" s="133"/>
    </row>
    <row r="506" spans="2:10" ht="19.899999999999999" customHeight="1">
      <c r="B506" s="226"/>
      <c r="C506" s="220"/>
      <c r="J506" s="133"/>
    </row>
    <row r="507" spans="2:10" ht="19.899999999999999" customHeight="1">
      <c r="B507" s="226"/>
      <c r="C507" s="220"/>
      <c r="J507" s="133"/>
    </row>
    <row r="508" spans="2:10" ht="19.899999999999999" customHeight="1">
      <c r="B508" s="226"/>
      <c r="C508" s="220"/>
      <c r="J508" s="133"/>
    </row>
    <row r="509" spans="2:10" ht="19.899999999999999" customHeight="1">
      <c r="B509" s="226"/>
      <c r="C509" s="220"/>
      <c r="J509" s="133"/>
    </row>
    <row r="510" spans="2:10" ht="19.899999999999999" customHeight="1">
      <c r="B510" s="226"/>
      <c r="C510" s="220"/>
      <c r="J510" s="133"/>
    </row>
    <row r="511" spans="2:10" ht="19.899999999999999" customHeight="1">
      <c r="B511" s="226"/>
      <c r="C511" s="220"/>
      <c r="J511" s="133"/>
    </row>
    <row r="512" spans="2:10" ht="19.899999999999999" customHeight="1">
      <c r="B512" s="226"/>
      <c r="C512" s="220"/>
      <c r="J512" s="133"/>
    </row>
    <row r="513" spans="2:17" ht="19.899999999999999" customHeight="1">
      <c r="B513" s="226"/>
      <c r="C513" s="220"/>
      <c r="J513" s="133"/>
    </row>
    <row r="514" spans="2:17" ht="19.899999999999999" customHeight="1">
      <c r="B514" s="226"/>
      <c r="C514" s="220"/>
      <c r="J514" s="133"/>
    </row>
    <row r="515" spans="2:17" ht="19.899999999999999" customHeight="1">
      <c r="B515" s="226"/>
      <c r="C515" s="220"/>
      <c r="J515" s="133"/>
    </row>
    <row r="516" spans="2:17" ht="19.899999999999999" customHeight="1">
      <c r="B516" s="226"/>
      <c r="C516" s="220"/>
      <c r="J516" s="133"/>
    </row>
    <row r="517" spans="2:17" ht="19.899999999999999" customHeight="1">
      <c r="B517" s="226"/>
      <c r="C517" s="220"/>
      <c r="J517" s="133"/>
    </row>
    <row r="518" spans="2:17" ht="19.899999999999999" customHeight="1">
      <c r="B518" s="226"/>
      <c r="C518" s="220"/>
      <c r="J518" s="133"/>
      <c r="Q518" s="137"/>
    </row>
    <row r="519" spans="2:17" ht="19.899999999999999" customHeight="1">
      <c r="B519" s="226"/>
      <c r="C519" s="220"/>
      <c r="J519" s="133"/>
    </row>
    <row r="520" spans="2:17" ht="19.899999999999999" customHeight="1">
      <c r="B520" s="226"/>
      <c r="C520" s="220"/>
      <c r="J520" s="133"/>
    </row>
    <row r="521" spans="2:17" ht="19.899999999999999" customHeight="1">
      <c r="B521" s="226"/>
      <c r="C521" s="220"/>
      <c r="J521" s="133"/>
    </row>
    <row r="522" spans="2:17" ht="19.899999999999999" customHeight="1">
      <c r="B522" s="226"/>
      <c r="C522" s="220"/>
      <c r="J522" s="133"/>
    </row>
    <row r="523" spans="2:17" ht="19.899999999999999" customHeight="1">
      <c r="B523" s="226"/>
      <c r="C523" s="220"/>
      <c r="J523" s="133"/>
    </row>
    <row r="524" spans="2:17" ht="19.899999999999999" customHeight="1">
      <c r="B524" s="226"/>
      <c r="C524" s="220"/>
      <c r="J524" s="133"/>
    </row>
    <row r="525" spans="2:17" ht="19.899999999999999" customHeight="1">
      <c r="B525" s="226"/>
      <c r="C525" s="220"/>
      <c r="J525" s="133"/>
    </row>
    <row r="526" spans="2:17" ht="19.899999999999999" customHeight="1">
      <c r="B526" s="226"/>
      <c r="C526" s="220"/>
      <c r="J526" s="133"/>
    </row>
    <row r="527" spans="2:17" ht="19.899999999999999" customHeight="1">
      <c r="B527" s="226"/>
      <c r="C527" s="220"/>
      <c r="J527" s="133"/>
    </row>
    <row r="528" spans="2:17" ht="19.899999999999999" customHeight="1">
      <c r="B528" s="226"/>
      <c r="C528" s="220"/>
      <c r="J528" s="133"/>
    </row>
    <row r="529" spans="2:10" ht="19.899999999999999" customHeight="1">
      <c r="B529" s="226"/>
      <c r="C529" s="220"/>
      <c r="J529" s="133"/>
    </row>
    <row r="530" spans="2:10" ht="19.899999999999999" customHeight="1">
      <c r="B530" s="226"/>
      <c r="C530" s="220"/>
      <c r="J530" s="133"/>
    </row>
    <row r="531" spans="2:10" ht="19.899999999999999" customHeight="1">
      <c r="B531" s="226"/>
      <c r="C531" s="220"/>
      <c r="J531" s="133"/>
    </row>
    <row r="532" spans="2:10" ht="19.899999999999999" customHeight="1">
      <c r="B532" s="226"/>
      <c r="C532" s="220"/>
      <c r="D532" s="195"/>
      <c r="E532" s="196"/>
      <c r="J532" s="133"/>
    </row>
    <row r="533" spans="2:10" ht="19.899999999999999" customHeight="1">
      <c r="B533" s="226"/>
      <c r="C533" s="220"/>
      <c r="J533" s="133"/>
    </row>
    <row r="534" spans="2:10" ht="19.899999999999999" customHeight="1">
      <c r="B534" s="226"/>
      <c r="C534" s="220"/>
      <c r="J534" s="133"/>
    </row>
    <row r="535" spans="2:10" ht="19.899999999999999" customHeight="1">
      <c r="B535" s="226"/>
      <c r="C535" s="220"/>
      <c r="J535" s="133"/>
    </row>
    <row r="536" spans="2:10" ht="19.899999999999999" customHeight="1">
      <c r="B536" s="226"/>
      <c r="C536" s="220"/>
      <c r="J536" s="133"/>
    </row>
    <row r="537" spans="2:10" ht="19.899999999999999" customHeight="1">
      <c r="B537" s="226"/>
      <c r="C537" s="220"/>
      <c r="J537" s="133"/>
    </row>
    <row r="538" spans="2:10" ht="19.899999999999999" customHeight="1">
      <c r="B538" s="226"/>
      <c r="C538" s="220"/>
      <c r="J538" s="133"/>
    </row>
    <row r="539" spans="2:10" ht="19.899999999999999" customHeight="1">
      <c r="B539" s="226"/>
      <c r="C539" s="220"/>
      <c r="J539" s="133"/>
    </row>
    <row r="540" spans="2:10" ht="19.899999999999999" customHeight="1">
      <c r="B540" s="226"/>
      <c r="C540" s="220"/>
      <c r="J540" s="133"/>
    </row>
    <row r="541" spans="2:10" ht="19.899999999999999" customHeight="1">
      <c r="B541" s="226"/>
      <c r="C541" s="220"/>
      <c r="J541" s="133"/>
    </row>
    <row r="542" spans="2:10" ht="19.899999999999999" customHeight="1">
      <c r="B542" s="226"/>
      <c r="C542" s="220"/>
      <c r="J542" s="133"/>
    </row>
    <row r="543" spans="2:10" ht="19.899999999999999" customHeight="1">
      <c r="B543" s="226"/>
      <c r="C543" s="220"/>
      <c r="J543" s="133"/>
    </row>
    <row r="544" spans="2:10" ht="19.899999999999999" customHeight="1">
      <c r="B544" s="226"/>
      <c r="C544" s="220"/>
      <c r="J544" s="133"/>
    </row>
    <row r="545" spans="2:17" ht="19.899999999999999" customHeight="1">
      <c r="B545" s="226"/>
      <c r="C545" s="220"/>
      <c r="J545" s="133"/>
    </row>
    <row r="546" spans="2:17" ht="19.899999999999999" customHeight="1">
      <c r="B546" s="226"/>
      <c r="C546" s="220"/>
      <c r="J546" s="133"/>
      <c r="Q546" s="137"/>
    </row>
    <row r="547" spans="2:17" ht="19.899999999999999" customHeight="1">
      <c r="B547" s="226"/>
      <c r="C547" s="220"/>
      <c r="J547" s="133"/>
    </row>
    <row r="548" spans="2:17" ht="19.899999999999999" customHeight="1">
      <c r="B548" s="226"/>
      <c r="C548" s="220"/>
      <c r="J548" s="133"/>
    </row>
    <row r="549" spans="2:17" ht="19.899999999999999" customHeight="1">
      <c r="B549" s="226"/>
      <c r="C549" s="220"/>
      <c r="J549" s="133"/>
    </row>
    <row r="550" spans="2:17" ht="19.899999999999999" customHeight="1">
      <c r="B550" s="226"/>
      <c r="C550" s="220"/>
      <c r="J550" s="133"/>
    </row>
    <row r="551" spans="2:17" ht="19.899999999999999" customHeight="1">
      <c r="B551" s="226"/>
      <c r="C551" s="220"/>
      <c r="J551" s="133"/>
    </row>
    <row r="552" spans="2:17" ht="19.899999999999999" customHeight="1">
      <c r="B552" s="226"/>
      <c r="C552" s="220"/>
      <c r="J552" s="133"/>
    </row>
    <row r="553" spans="2:17" ht="19.899999999999999" customHeight="1">
      <c r="B553" s="226"/>
      <c r="C553" s="220"/>
      <c r="J553" s="133"/>
    </row>
    <row r="554" spans="2:17" ht="19.899999999999999" customHeight="1">
      <c r="B554" s="226"/>
      <c r="C554" s="220"/>
      <c r="J554" s="133"/>
    </row>
    <row r="555" spans="2:17" ht="19.899999999999999" customHeight="1">
      <c r="B555" s="226"/>
      <c r="C555" s="220"/>
      <c r="J555" s="133"/>
    </row>
    <row r="556" spans="2:17" ht="19.899999999999999" customHeight="1">
      <c r="B556" s="226"/>
      <c r="C556" s="220"/>
      <c r="J556" s="133"/>
    </row>
    <row r="557" spans="2:17" ht="19.899999999999999" customHeight="1">
      <c r="B557" s="226"/>
      <c r="C557" s="220"/>
      <c r="J557" s="133"/>
    </row>
    <row r="558" spans="2:17" ht="19.899999999999999" customHeight="1">
      <c r="B558" s="226"/>
      <c r="C558" s="220"/>
      <c r="J558" s="133"/>
    </row>
    <row r="559" spans="2:17" ht="19.899999999999999" customHeight="1">
      <c r="B559" s="226"/>
      <c r="C559" s="220"/>
      <c r="J559" s="133"/>
    </row>
    <row r="560" spans="2:17" ht="19.899999999999999" customHeight="1">
      <c r="B560" s="226"/>
      <c r="C560" s="220"/>
      <c r="J560" s="133"/>
    </row>
    <row r="561" spans="2:17" ht="19.899999999999999" customHeight="1">
      <c r="B561" s="226"/>
      <c r="C561" s="220"/>
      <c r="J561" s="133"/>
    </row>
    <row r="562" spans="2:17" ht="19.899999999999999" customHeight="1">
      <c r="B562" s="226"/>
      <c r="C562" s="220"/>
      <c r="J562" s="133"/>
    </row>
    <row r="563" spans="2:17" ht="19.899999999999999" customHeight="1">
      <c r="B563" s="226"/>
      <c r="C563" s="220"/>
      <c r="J563" s="133"/>
    </row>
    <row r="564" spans="2:17" ht="19.899999999999999" customHeight="1">
      <c r="B564" s="226"/>
      <c r="C564" s="220"/>
      <c r="J564" s="133"/>
    </row>
    <row r="565" spans="2:17" ht="19.899999999999999" customHeight="1">
      <c r="B565" s="226"/>
      <c r="C565" s="220"/>
      <c r="J565" s="133"/>
    </row>
    <row r="566" spans="2:17" ht="19.899999999999999" customHeight="1">
      <c r="B566" s="226"/>
      <c r="C566" s="220"/>
      <c r="J566" s="133"/>
    </row>
    <row r="567" spans="2:17" ht="19.899999999999999" customHeight="1">
      <c r="B567" s="226"/>
      <c r="C567" s="220"/>
      <c r="J567" s="133"/>
    </row>
    <row r="568" spans="2:17" ht="19.899999999999999" customHeight="1">
      <c r="B568" s="226"/>
      <c r="C568" s="220"/>
      <c r="J568" s="133"/>
    </row>
    <row r="569" spans="2:17" ht="19.899999999999999" customHeight="1">
      <c r="B569" s="226"/>
      <c r="C569" s="220"/>
      <c r="J569" s="133"/>
    </row>
    <row r="570" spans="2:17" ht="19.899999999999999" customHeight="1">
      <c r="B570" s="226"/>
      <c r="C570" s="220"/>
      <c r="J570" s="133"/>
    </row>
    <row r="571" spans="2:17" ht="19.899999999999999" customHeight="1">
      <c r="B571" s="226"/>
      <c r="C571" s="220"/>
      <c r="J571" s="133"/>
    </row>
    <row r="572" spans="2:17" ht="19.899999999999999" customHeight="1">
      <c r="B572" s="226"/>
      <c r="C572" s="220"/>
      <c r="J572" s="133"/>
    </row>
    <row r="573" spans="2:17" ht="19.899999999999999" customHeight="1">
      <c r="B573" s="226"/>
      <c r="C573" s="220"/>
      <c r="J573" s="133"/>
    </row>
    <row r="574" spans="2:17" ht="19.899999999999999" customHeight="1">
      <c r="B574" s="226"/>
      <c r="C574" s="220"/>
      <c r="J574" s="133"/>
      <c r="Q574" s="137"/>
    </row>
    <row r="575" spans="2:17" ht="19.899999999999999" customHeight="1">
      <c r="B575" s="226"/>
      <c r="C575" s="220"/>
      <c r="J575" s="133"/>
    </row>
    <row r="576" spans="2:17" ht="19.899999999999999" customHeight="1">
      <c r="B576" s="226"/>
      <c r="C576" s="220"/>
      <c r="J576" s="133"/>
    </row>
    <row r="577" spans="2:17" ht="19.899999999999999" customHeight="1">
      <c r="B577" s="226"/>
      <c r="C577" s="220"/>
      <c r="J577" s="133"/>
    </row>
    <row r="578" spans="2:17" ht="19.899999999999999" customHeight="1">
      <c r="B578" s="226"/>
      <c r="C578" s="220"/>
      <c r="J578" s="133"/>
    </row>
    <row r="579" spans="2:17" ht="19.899999999999999" customHeight="1">
      <c r="B579" s="226"/>
      <c r="C579" s="220"/>
      <c r="J579" s="133"/>
    </row>
    <row r="580" spans="2:17" ht="19.899999999999999" customHeight="1">
      <c r="B580" s="226"/>
      <c r="C580" s="220"/>
      <c r="J580" s="133"/>
    </row>
    <row r="581" spans="2:17" ht="19.899999999999999" customHeight="1">
      <c r="B581" s="226"/>
      <c r="C581" s="220"/>
      <c r="J581" s="133"/>
    </row>
    <row r="582" spans="2:17" ht="19.899999999999999" customHeight="1">
      <c r="B582" s="226"/>
      <c r="C582" s="220"/>
      <c r="J582" s="133"/>
    </row>
    <row r="583" spans="2:17" ht="19.899999999999999" customHeight="1">
      <c r="B583" s="226"/>
      <c r="C583" s="220"/>
      <c r="J583" s="133"/>
    </row>
    <row r="584" spans="2:17" ht="19.899999999999999" customHeight="1">
      <c r="B584" s="226"/>
      <c r="C584" s="220"/>
      <c r="J584" s="133"/>
    </row>
    <row r="585" spans="2:17" ht="19.899999999999999" customHeight="1">
      <c r="B585" s="226"/>
      <c r="C585" s="220"/>
      <c r="J585" s="133"/>
      <c r="Q585" s="137"/>
    </row>
    <row r="586" spans="2:17" ht="19.899999999999999" customHeight="1">
      <c r="B586" s="226"/>
      <c r="C586" s="220"/>
      <c r="J586" s="133"/>
    </row>
    <row r="587" spans="2:17" ht="19.899999999999999" customHeight="1">
      <c r="B587" s="226"/>
      <c r="C587" s="220"/>
      <c r="J587" s="133"/>
    </row>
    <row r="588" spans="2:17" ht="19.899999999999999" customHeight="1">
      <c r="B588" s="226"/>
      <c r="C588" s="220"/>
      <c r="J588" s="133"/>
    </row>
    <row r="589" spans="2:17" ht="19.899999999999999" customHeight="1">
      <c r="B589" s="226"/>
      <c r="C589" s="220"/>
      <c r="J589" s="133"/>
    </row>
    <row r="590" spans="2:17" ht="19.899999999999999" customHeight="1">
      <c r="B590" s="226"/>
      <c r="C590" s="220"/>
      <c r="J590" s="133"/>
    </row>
    <row r="591" spans="2:17" ht="19.899999999999999" customHeight="1">
      <c r="B591" s="226"/>
      <c r="C591" s="220"/>
      <c r="J591" s="133"/>
    </row>
    <row r="592" spans="2:17" ht="19.899999999999999" customHeight="1">
      <c r="B592" s="226"/>
      <c r="C592" s="220"/>
      <c r="J592" s="133"/>
    </row>
    <row r="593" spans="2:17" ht="19.899999999999999" customHeight="1">
      <c r="B593" s="226"/>
      <c r="C593" s="220"/>
      <c r="J593" s="133"/>
    </row>
    <row r="594" spans="2:17" ht="19.899999999999999" customHeight="1">
      <c r="B594" s="226"/>
      <c r="C594" s="220"/>
      <c r="J594" s="133"/>
    </row>
    <row r="595" spans="2:17" ht="19.899999999999999" customHeight="1">
      <c r="B595" s="226"/>
      <c r="C595" s="220"/>
      <c r="J595" s="133"/>
    </row>
    <row r="596" spans="2:17" ht="19.899999999999999" customHeight="1">
      <c r="B596" s="226"/>
      <c r="C596" s="220"/>
      <c r="J596" s="133"/>
    </row>
    <row r="597" spans="2:17" ht="19.899999999999999" customHeight="1">
      <c r="B597" s="226"/>
      <c r="C597" s="220"/>
      <c r="J597" s="133"/>
    </row>
    <row r="598" spans="2:17" ht="19.899999999999999" customHeight="1">
      <c r="B598" s="226"/>
      <c r="C598" s="220"/>
      <c r="J598" s="133"/>
      <c r="Q598" s="137"/>
    </row>
    <row r="599" spans="2:17" ht="19.899999999999999" customHeight="1">
      <c r="B599" s="226"/>
      <c r="C599" s="220"/>
      <c r="J599" s="133"/>
    </row>
    <row r="600" spans="2:17" ht="19.899999999999999" customHeight="1">
      <c r="B600" s="226"/>
      <c r="C600" s="220"/>
      <c r="J600" s="133"/>
    </row>
    <row r="601" spans="2:17" ht="19.899999999999999" customHeight="1">
      <c r="B601" s="226"/>
      <c r="C601" s="220"/>
      <c r="J601" s="133"/>
    </row>
    <row r="602" spans="2:17" ht="19.899999999999999" customHeight="1">
      <c r="B602" s="226"/>
      <c r="C602" s="220"/>
      <c r="J602" s="133"/>
    </row>
    <row r="603" spans="2:17" ht="19.899999999999999" customHeight="1">
      <c r="B603" s="226"/>
      <c r="C603" s="220"/>
      <c r="J603" s="133"/>
    </row>
    <row r="604" spans="2:17" ht="19.899999999999999" customHeight="1">
      <c r="B604" s="226"/>
      <c r="C604" s="220"/>
      <c r="J604" s="133"/>
    </row>
    <row r="605" spans="2:17" ht="19.899999999999999" customHeight="1">
      <c r="B605" s="226"/>
      <c r="C605" s="220"/>
      <c r="J605" s="133"/>
    </row>
    <row r="606" spans="2:17" ht="19.899999999999999" customHeight="1">
      <c r="B606" s="226"/>
      <c r="C606" s="220"/>
      <c r="J606" s="133"/>
    </row>
    <row r="607" spans="2:17" ht="19.899999999999999" customHeight="1">
      <c r="B607" s="226"/>
      <c r="C607" s="220"/>
      <c r="J607" s="133"/>
    </row>
    <row r="608" spans="2:17" ht="19.899999999999999" customHeight="1">
      <c r="B608" s="226"/>
      <c r="C608" s="220"/>
      <c r="J608" s="133"/>
    </row>
    <row r="609" spans="2:17" ht="19.899999999999999" customHeight="1">
      <c r="B609" s="226"/>
      <c r="C609" s="220"/>
      <c r="J609" s="133"/>
    </row>
    <row r="610" spans="2:17" ht="19.899999999999999" customHeight="1">
      <c r="B610" s="226"/>
      <c r="C610" s="220"/>
      <c r="J610" s="133"/>
    </row>
    <row r="611" spans="2:17" ht="19.899999999999999" customHeight="1">
      <c r="B611" s="226"/>
      <c r="C611" s="220"/>
      <c r="J611" s="133"/>
    </row>
    <row r="612" spans="2:17" ht="19.899999999999999" customHeight="1">
      <c r="B612" s="226"/>
      <c r="C612" s="220"/>
      <c r="J612" s="133"/>
    </row>
    <row r="613" spans="2:17" ht="19.899999999999999" customHeight="1">
      <c r="B613" s="226"/>
      <c r="C613" s="220"/>
      <c r="J613" s="133"/>
    </row>
    <row r="614" spans="2:17" ht="19.899999999999999" customHeight="1">
      <c r="B614" s="226"/>
      <c r="C614" s="220"/>
      <c r="J614" s="133"/>
    </row>
    <row r="615" spans="2:17" ht="19.899999999999999" customHeight="1">
      <c r="B615" s="226"/>
      <c r="C615" s="220"/>
      <c r="J615" s="133"/>
    </row>
    <row r="616" spans="2:17" ht="19.899999999999999" customHeight="1">
      <c r="B616" s="226"/>
      <c r="C616" s="220"/>
      <c r="J616" s="133"/>
    </row>
    <row r="617" spans="2:17" ht="19.899999999999999" customHeight="1">
      <c r="B617" s="226"/>
      <c r="C617" s="220"/>
      <c r="J617" s="133"/>
    </row>
    <row r="618" spans="2:17" ht="19.899999999999999" customHeight="1">
      <c r="B618" s="226"/>
      <c r="C618" s="220"/>
      <c r="J618" s="133"/>
    </row>
    <row r="619" spans="2:17" ht="19.899999999999999" customHeight="1">
      <c r="B619" s="226"/>
      <c r="C619" s="220"/>
      <c r="J619" s="133"/>
    </row>
    <row r="620" spans="2:17" ht="19.899999999999999" customHeight="1">
      <c r="B620" s="226"/>
      <c r="C620" s="220"/>
      <c r="J620" s="133"/>
      <c r="Q620" s="137"/>
    </row>
    <row r="621" spans="2:17" ht="19.899999999999999" customHeight="1">
      <c r="B621" s="226"/>
      <c r="C621" s="220"/>
      <c r="J621" s="133"/>
    </row>
    <row r="622" spans="2:17" ht="19.899999999999999" customHeight="1">
      <c r="B622" s="226"/>
      <c r="C622" s="220"/>
      <c r="J622" s="133"/>
    </row>
    <row r="623" spans="2:17" ht="19.899999999999999" customHeight="1">
      <c r="B623" s="226"/>
      <c r="C623" s="220"/>
      <c r="J623" s="133"/>
    </row>
    <row r="624" spans="2:17" ht="19.899999999999999" customHeight="1">
      <c r="B624" s="226"/>
      <c r="C624" s="220"/>
      <c r="J624" s="133"/>
    </row>
    <row r="625" spans="2:10" ht="19.899999999999999" customHeight="1">
      <c r="B625" s="226"/>
      <c r="C625" s="220"/>
      <c r="J625" s="133"/>
    </row>
    <row r="626" spans="2:10" ht="19.899999999999999" customHeight="1">
      <c r="B626" s="226"/>
      <c r="C626" s="220"/>
      <c r="J626" s="133"/>
    </row>
    <row r="627" spans="2:10" ht="19.899999999999999" customHeight="1">
      <c r="B627" s="226"/>
      <c r="C627" s="220"/>
      <c r="J627" s="133"/>
    </row>
    <row r="628" spans="2:10" ht="19.899999999999999" customHeight="1">
      <c r="B628" s="226"/>
      <c r="C628" s="220"/>
      <c r="J628" s="133"/>
    </row>
    <row r="629" spans="2:10" ht="19.899999999999999" customHeight="1">
      <c r="B629" s="226"/>
      <c r="C629" s="220"/>
      <c r="J629" s="133"/>
    </row>
    <row r="630" spans="2:10" ht="19.899999999999999" customHeight="1">
      <c r="B630" s="226"/>
      <c r="C630" s="220"/>
      <c r="J630" s="133"/>
    </row>
    <row r="631" spans="2:10" ht="19.899999999999999" customHeight="1">
      <c r="B631" s="226"/>
      <c r="C631" s="220"/>
      <c r="J631" s="133"/>
    </row>
    <row r="632" spans="2:10" ht="19.899999999999999" customHeight="1">
      <c r="B632" s="226"/>
      <c r="C632" s="220"/>
      <c r="J632" s="133"/>
    </row>
    <row r="633" spans="2:10" ht="19.899999999999999" customHeight="1">
      <c r="B633" s="226"/>
      <c r="C633" s="220"/>
      <c r="J633" s="133"/>
    </row>
    <row r="634" spans="2:10" ht="19.899999999999999" customHeight="1">
      <c r="B634" s="226"/>
      <c r="C634" s="220"/>
      <c r="J634" s="133"/>
    </row>
    <row r="635" spans="2:10" ht="19.899999999999999" customHeight="1">
      <c r="B635" s="226"/>
      <c r="C635" s="220"/>
      <c r="J635" s="133"/>
    </row>
    <row r="636" spans="2:10" ht="19.899999999999999" customHeight="1">
      <c r="B636" s="226"/>
      <c r="C636" s="220"/>
      <c r="J636" s="133"/>
    </row>
    <row r="637" spans="2:10" ht="19.899999999999999" customHeight="1">
      <c r="B637" s="226"/>
      <c r="C637" s="220"/>
      <c r="J637" s="133"/>
    </row>
    <row r="638" spans="2:10" ht="19.899999999999999" customHeight="1">
      <c r="B638" s="226"/>
      <c r="C638" s="220"/>
      <c r="J638" s="133"/>
    </row>
    <row r="639" spans="2:10" ht="19.899999999999999" customHeight="1">
      <c r="B639" s="226"/>
      <c r="C639" s="220"/>
      <c r="J639" s="133"/>
    </row>
    <row r="640" spans="2:10" ht="19.899999999999999" customHeight="1">
      <c r="B640" s="226"/>
      <c r="C640" s="220"/>
      <c r="J640" s="133"/>
    </row>
    <row r="641" spans="2:10" ht="19.899999999999999" customHeight="1">
      <c r="B641" s="226"/>
      <c r="C641" s="220"/>
      <c r="J641" s="133"/>
    </row>
    <row r="642" spans="2:10" ht="19.899999999999999" customHeight="1">
      <c r="B642" s="226"/>
      <c r="C642" s="220"/>
      <c r="J642" s="133"/>
    </row>
    <row r="643" spans="2:10" ht="19.899999999999999" customHeight="1">
      <c r="B643" s="226"/>
      <c r="C643" s="220"/>
      <c r="J643" s="133"/>
    </row>
    <row r="644" spans="2:10" ht="19.899999999999999" customHeight="1">
      <c r="B644" s="226"/>
      <c r="C644" s="220"/>
      <c r="J644" s="133"/>
    </row>
    <row r="645" spans="2:10" ht="19.899999999999999" customHeight="1">
      <c r="B645" s="226"/>
      <c r="C645" s="220"/>
      <c r="J645" s="133"/>
    </row>
    <row r="646" spans="2:10" ht="19.899999999999999" customHeight="1">
      <c r="B646" s="226"/>
      <c r="C646" s="220"/>
      <c r="J646" s="133"/>
    </row>
    <row r="647" spans="2:10" ht="19.899999999999999" customHeight="1">
      <c r="B647" s="226"/>
      <c r="C647" s="220"/>
      <c r="J647" s="133"/>
    </row>
    <row r="648" spans="2:10" ht="19.899999999999999" customHeight="1">
      <c r="B648" s="226"/>
      <c r="C648" s="220"/>
      <c r="J648" s="133"/>
    </row>
    <row r="649" spans="2:10" ht="19.899999999999999" customHeight="1">
      <c r="B649" s="226"/>
      <c r="C649" s="220"/>
      <c r="J649" s="133"/>
    </row>
    <row r="650" spans="2:10" ht="19.899999999999999" customHeight="1">
      <c r="B650" s="226"/>
      <c r="C650" s="220"/>
      <c r="J650" s="133"/>
    </row>
    <row r="651" spans="2:10" ht="19.899999999999999" customHeight="1">
      <c r="B651" s="226"/>
      <c r="C651" s="220"/>
      <c r="J651" s="133"/>
    </row>
    <row r="652" spans="2:10" ht="19.899999999999999" customHeight="1">
      <c r="B652" s="226"/>
      <c r="C652" s="220"/>
      <c r="J652" s="133"/>
    </row>
    <row r="653" spans="2:10" ht="19.899999999999999" customHeight="1">
      <c r="B653" s="226"/>
      <c r="C653" s="220"/>
      <c r="J653" s="133"/>
    </row>
    <row r="654" spans="2:10" ht="19.899999999999999" customHeight="1">
      <c r="B654" s="226"/>
      <c r="C654" s="220"/>
      <c r="J654" s="133"/>
    </row>
    <row r="655" spans="2:10" ht="19.899999999999999" customHeight="1">
      <c r="B655" s="226"/>
      <c r="C655" s="220"/>
      <c r="J655" s="133"/>
    </row>
    <row r="656" spans="2:10" ht="19.899999999999999" customHeight="1">
      <c r="B656" s="226"/>
      <c r="C656" s="220"/>
      <c r="J656" s="133"/>
    </row>
    <row r="657" spans="2:10" ht="19.899999999999999" customHeight="1">
      <c r="B657" s="226"/>
      <c r="C657" s="220"/>
      <c r="J657" s="133"/>
    </row>
    <row r="658" spans="2:10" ht="19.899999999999999" customHeight="1">
      <c r="B658" s="226"/>
      <c r="C658" s="220"/>
      <c r="J658" s="133"/>
    </row>
    <row r="659" spans="2:10" ht="19.899999999999999" customHeight="1">
      <c r="B659" s="226"/>
      <c r="C659" s="220"/>
      <c r="J659" s="133"/>
    </row>
    <row r="660" spans="2:10" ht="19.899999999999999" customHeight="1">
      <c r="B660" s="226"/>
      <c r="C660" s="220"/>
      <c r="J660" s="133"/>
    </row>
    <row r="661" spans="2:10" ht="19.899999999999999" customHeight="1">
      <c r="B661" s="226"/>
      <c r="C661" s="220"/>
      <c r="J661" s="133"/>
    </row>
    <row r="662" spans="2:10" ht="19.899999999999999" customHeight="1">
      <c r="B662" s="226"/>
      <c r="C662" s="220"/>
      <c r="J662" s="133"/>
    </row>
    <row r="663" spans="2:10" ht="19.899999999999999" customHeight="1">
      <c r="B663" s="226"/>
      <c r="C663" s="220"/>
      <c r="J663" s="133"/>
    </row>
    <row r="664" spans="2:10" ht="19.899999999999999" customHeight="1">
      <c r="B664" s="226"/>
      <c r="C664" s="220"/>
      <c r="J664" s="133"/>
    </row>
    <row r="665" spans="2:10" ht="19.899999999999999" customHeight="1">
      <c r="B665" s="226"/>
      <c r="C665" s="220"/>
      <c r="J665" s="133"/>
    </row>
    <row r="666" spans="2:10" ht="19.899999999999999" customHeight="1">
      <c r="B666" s="226"/>
      <c r="C666" s="220"/>
      <c r="J666" s="133"/>
    </row>
    <row r="667" spans="2:10" ht="19.899999999999999" customHeight="1">
      <c r="B667" s="226"/>
      <c r="C667" s="220"/>
      <c r="J667" s="133"/>
    </row>
    <row r="668" spans="2:10" ht="19.899999999999999" customHeight="1">
      <c r="B668" s="226"/>
      <c r="C668" s="220"/>
      <c r="J668" s="133"/>
    </row>
    <row r="669" spans="2:10" ht="19.899999999999999" customHeight="1">
      <c r="B669" s="226"/>
      <c r="C669" s="220"/>
      <c r="J669" s="133"/>
    </row>
    <row r="670" spans="2:10" ht="19.899999999999999" customHeight="1">
      <c r="B670" s="226"/>
      <c r="C670" s="220"/>
      <c r="J670" s="133"/>
    </row>
    <row r="671" spans="2:10" ht="19.899999999999999" customHeight="1">
      <c r="B671" s="226"/>
      <c r="C671" s="220"/>
      <c r="J671" s="133"/>
    </row>
    <row r="672" spans="2:10" ht="19.899999999999999" customHeight="1">
      <c r="B672" s="226"/>
      <c r="C672" s="220"/>
      <c r="J672" s="133"/>
    </row>
    <row r="673" spans="2:17" ht="19.899999999999999" customHeight="1">
      <c r="B673" s="226"/>
      <c r="C673" s="220"/>
      <c r="J673" s="133"/>
    </row>
    <row r="674" spans="2:17" ht="19.899999999999999" customHeight="1">
      <c r="B674" s="226"/>
      <c r="C674" s="220"/>
      <c r="J674" s="133"/>
    </row>
    <row r="675" spans="2:17" ht="19.899999999999999" customHeight="1">
      <c r="B675" s="226"/>
      <c r="C675" s="220"/>
      <c r="J675" s="133"/>
    </row>
    <row r="676" spans="2:17" ht="19.899999999999999" customHeight="1">
      <c r="B676" s="226"/>
      <c r="C676" s="220"/>
      <c r="J676" s="133"/>
    </row>
    <row r="677" spans="2:17" ht="19.899999999999999" customHeight="1">
      <c r="B677" s="226"/>
      <c r="C677" s="220"/>
      <c r="J677" s="133"/>
    </row>
    <row r="678" spans="2:17" ht="19.899999999999999" customHeight="1">
      <c r="B678" s="226"/>
      <c r="C678" s="220"/>
      <c r="J678" s="133"/>
    </row>
    <row r="679" spans="2:17" ht="19.899999999999999" customHeight="1">
      <c r="B679" s="226"/>
      <c r="C679" s="220"/>
      <c r="J679" s="133"/>
    </row>
    <row r="680" spans="2:17" ht="19.899999999999999" customHeight="1">
      <c r="B680" s="226"/>
      <c r="C680" s="220"/>
      <c r="J680" s="133"/>
    </row>
    <row r="681" spans="2:17" ht="19.899999999999999" customHeight="1">
      <c r="B681" s="226"/>
      <c r="C681" s="220"/>
      <c r="J681" s="133"/>
    </row>
    <row r="682" spans="2:17" ht="19.899999999999999" customHeight="1">
      <c r="B682" s="226"/>
      <c r="C682" s="220"/>
      <c r="J682" s="133"/>
    </row>
    <row r="683" spans="2:17" ht="19.899999999999999" customHeight="1">
      <c r="B683" s="226"/>
      <c r="C683" s="220"/>
      <c r="J683" s="133"/>
    </row>
    <row r="684" spans="2:17" ht="19.899999999999999" customHeight="1">
      <c r="B684" s="226"/>
      <c r="C684" s="220"/>
      <c r="J684" s="133"/>
    </row>
    <row r="685" spans="2:17" ht="19.899999999999999" customHeight="1">
      <c r="B685" s="226"/>
      <c r="C685" s="220"/>
      <c r="J685" s="133"/>
    </row>
    <row r="686" spans="2:17" ht="19.899999999999999" customHeight="1">
      <c r="B686" s="226"/>
      <c r="C686" s="220"/>
      <c r="J686" s="133"/>
    </row>
    <row r="687" spans="2:17" ht="19.899999999999999" customHeight="1">
      <c r="B687" s="226"/>
      <c r="C687" s="220"/>
      <c r="J687" s="133"/>
    </row>
    <row r="688" spans="2:17" ht="19.899999999999999" customHeight="1">
      <c r="B688" s="226"/>
      <c r="C688" s="220"/>
      <c r="J688" s="133"/>
      <c r="Q688" s="137"/>
    </row>
    <row r="689" spans="2:10" ht="19.899999999999999" customHeight="1">
      <c r="B689" s="226"/>
      <c r="C689" s="220"/>
      <c r="J689" s="133"/>
    </row>
    <row r="690" spans="2:10" ht="19.899999999999999" customHeight="1">
      <c r="B690" s="226"/>
      <c r="C690" s="220"/>
      <c r="J690" s="133"/>
    </row>
    <row r="691" spans="2:10" ht="19.899999999999999" customHeight="1">
      <c r="B691" s="226"/>
      <c r="C691" s="220"/>
      <c r="J691" s="133"/>
    </row>
    <row r="692" spans="2:10" ht="19.899999999999999" customHeight="1">
      <c r="B692" s="226"/>
      <c r="C692" s="220"/>
      <c r="J692" s="133"/>
    </row>
    <row r="693" spans="2:10" ht="19.899999999999999" customHeight="1">
      <c r="B693" s="226"/>
      <c r="C693" s="220"/>
      <c r="J693" s="133"/>
    </row>
    <row r="694" spans="2:10" ht="19.899999999999999" customHeight="1">
      <c r="B694" s="226"/>
      <c r="C694" s="220"/>
      <c r="J694" s="133"/>
    </row>
    <row r="695" spans="2:10" ht="19.899999999999999" customHeight="1">
      <c r="B695" s="226"/>
      <c r="C695" s="220"/>
      <c r="J695" s="133"/>
    </row>
    <row r="696" spans="2:10" ht="19.899999999999999" customHeight="1">
      <c r="B696" s="226"/>
      <c r="C696" s="220"/>
      <c r="J696" s="133"/>
    </row>
    <row r="697" spans="2:10" ht="19.899999999999999" customHeight="1">
      <c r="B697" s="226"/>
      <c r="C697" s="220"/>
      <c r="J697" s="133"/>
    </row>
    <row r="698" spans="2:10" ht="19.899999999999999" customHeight="1">
      <c r="B698" s="226"/>
      <c r="C698" s="220"/>
      <c r="J698" s="133"/>
    </row>
    <row r="699" spans="2:10" ht="19.899999999999999" customHeight="1">
      <c r="B699" s="226"/>
      <c r="C699" s="220"/>
      <c r="J699" s="133"/>
    </row>
    <row r="700" spans="2:10" ht="19.899999999999999" customHeight="1">
      <c r="B700" s="226"/>
      <c r="C700" s="220"/>
      <c r="J700" s="133"/>
    </row>
    <row r="701" spans="2:10" ht="19.899999999999999" customHeight="1">
      <c r="B701" s="226"/>
      <c r="C701" s="220"/>
      <c r="J701" s="133"/>
    </row>
    <row r="702" spans="2:10" ht="19.899999999999999" customHeight="1">
      <c r="B702" s="226"/>
      <c r="C702" s="220"/>
      <c r="J702" s="133"/>
    </row>
    <row r="703" spans="2:10" ht="19.899999999999999" customHeight="1">
      <c r="B703" s="226"/>
      <c r="C703" s="220"/>
      <c r="J703" s="133"/>
    </row>
    <row r="704" spans="2:10" ht="19.899999999999999" customHeight="1">
      <c r="B704" s="226"/>
      <c r="C704" s="220"/>
      <c r="J704" s="133"/>
    </row>
    <row r="705" spans="2:10" ht="19.899999999999999" customHeight="1">
      <c r="B705" s="226"/>
      <c r="C705" s="220"/>
      <c r="J705" s="133"/>
    </row>
    <row r="706" spans="2:10" ht="19.899999999999999" customHeight="1">
      <c r="B706" s="226"/>
      <c r="C706" s="220"/>
      <c r="J706" s="133"/>
    </row>
    <row r="707" spans="2:10" ht="19.899999999999999" customHeight="1">
      <c r="B707" s="226"/>
      <c r="C707" s="220"/>
      <c r="J707" s="133"/>
    </row>
    <row r="708" spans="2:10" ht="19.899999999999999" customHeight="1">
      <c r="B708" s="226"/>
      <c r="C708" s="220"/>
      <c r="J708" s="133"/>
    </row>
    <row r="709" spans="2:10" ht="19.899999999999999" customHeight="1">
      <c r="B709" s="226"/>
      <c r="C709" s="220"/>
      <c r="J709" s="133"/>
    </row>
    <row r="710" spans="2:10" ht="19.899999999999999" customHeight="1">
      <c r="B710" s="226"/>
      <c r="C710" s="220"/>
      <c r="J710" s="133"/>
    </row>
    <row r="711" spans="2:10" ht="19.899999999999999" customHeight="1">
      <c r="B711" s="226"/>
      <c r="C711" s="220"/>
      <c r="J711" s="133"/>
    </row>
    <row r="712" spans="2:10" ht="19.899999999999999" customHeight="1">
      <c r="B712" s="226"/>
      <c r="C712" s="220"/>
      <c r="J712" s="133"/>
    </row>
    <row r="713" spans="2:10" ht="19.899999999999999" customHeight="1">
      <c r="B713" s="226"/>
      <c r="C713" s="220"/>
      <c r="J713" s="133"/>
    </row>
    <row r="714" spans="2:10" ht="19.899999999999999" customHeight="1">
      <c r="B714" s="226"/>
      <c r="C714" s="220"/>
      <c r="J714" s="133"/>
    </row>
    <row r="715" spans="2:10" ht="19.899999999999999" customHeight="1">
      <c r="B715" s="226"/>
      <c r="C715" s="220"/>
      <c r="J715" s="133"/>
    </row>
    <row r="716" spans="2:10" ht="19.899999999999999" customHeight="1">
      <c r="B716" s="226"/>
      <c r="C716" s="220"/>
      <c r="J716" s="133"/>
    </row>
    <row r="717" spans="2:10" ht="19.899999999999999" customHeight="1">
      <c r="B717" s="226"/>
      <c r="C717" s="220"/>
      <c r="J717" s="133"/>
    </row>
    <row r="718" spans="2:10" ht="19.899999999999999" customHeight="1">
      <c r="B718" s="226"/>
      <c r="C718" s="220"/>
      <c r="J718" s="133"/>
    </row>
    <row r="719" spans="2:10" ht="19.899999999999999" customHeight="1">
      <c r="B719" s="226"/>
      <c r="C719" s="220"/>
      <c r="J719" s="133"/>
    </row>
    <row r="720" spans="2:10" ht="19.899999999999999" customHeight="1">
      <c r="B720" s="226"/>
      <c r="C720" s="220"/>
      <c r="J720" s="133"/>
    </row>
    <row r="721" spans="2:10" ht="19.899999999999999" customHeight="1">
      <c r="B721" s="226"/>
      <c r="C721" s="220"/>
      <c r="J721" s="133"/>
    </row>
    <row r="722" spans="2:10" ht="19.899999999999999" customHeight="1">
      <c r="B722" s="226"/>
      <c r="C722" s="220"/>
      <c r="J722" s="133"/>
    </row>
    <row r="723" spans="2:10" ht="19.899999999999999" customHeight="1">
      <c r="B723" s="226"/>
      <c r="C723" s="220"/>
      <c r="J723" s="133"/>
    </row>
    <row r="724" spans="2:10" ht="19.899999999999999" customHeight="1">
      <c r="B724" s="226"/>
      <c r="C724" s="220"/>
      <c r="J724" s="133"/>
    </row>
    <row r="725" spans="2:10" ht="19.899999999999999" customHeight="1">
      <c r="B725" s="226"/>
      <c r="C725" s="220"/>
      <c r="J725" s="133"/>
    </row>
    <row r="726" spans="2:10" ht="19.899999999999999" customHeight="1">
      <c r="B726" s="226"/>
      <c r="C726" s="220"/>
      <c r="J726" s="133"/>
    </row>
    <row r="727" spans="2:10" ht="19.899999999999999" customHeight="1">
      <c r="B727" s="226"/>
      <c r="C727" s="220"/>
      <c r="J727" s="133"/>
    </row>
    <row r="728" spans="2:10" ht="19.899999999999999" customHeight="1">
      <c r="B728" s="226"/>
      <c r="C728" s="220"/>
      <c r="J728" s="133"/>
    </row>
    <row r="729" spans="2:10" ht="19.899999999999999" customHeight="1">
      <c r="B729" s="226"/>
      <c r="C729" s="220"/>
      <c r="J729" s="133"/>
    </row>
    <row r="730" spans="2:10" ht="19.899999999999999" customHeight="1">
      <c r="B730" s="226"/>
      <c r="C730" s="220"/>
      <c r="J730" s="133"/>
    </row>
    <row r="731" spans="2:10" ht="19.899999999999999" customHeight="1">
      <c r="B731" s="226"/>
      <c r="C731" s="220"/>
      <c r="J731" s="133"/>
    </row>
    <row r="732" spans="2:10" ht="19.899999999999999" customHeight="1">
      <c r="B732" s="226"/>
      <c r="C732" s="220"/>
      <c r="J732" s="133"/>
    </row>
    <row r="733" spans="2:10" ht="19.899999999999999" customHeight="1">
      <c r="B733" s="226"/>
      <c r="C733" s="220"/>
      <c r="J733" s="133"/>
    </row>
    <row r="734" spans="2:10" ht="19.899999999999999" customHeight="1">
      <c r="B734" s="226"/>
      <c r="C734" s="220"/>
      <c r="J734" s="133"/>
    </row>
    <row r="735" spans="2:10" ht="19.899999999999999" customHeight="1">
      <c r="B735" s="226"/>
      <c r="C735" s="220"/>
      <c r="J735" s="133"/>
    </row>
    <row r="736" spans="2:10" ht="19.899999999999999" customHeight="1">
      <c r="B736" s="226"/>
      <c r="C736" s="220"/>
      <c r="J736" s="133"/>
    </row>
    <row r="737" spans="2:10" ht="19.899999999999999" customHeight="1">
      <c r="B737" s="226"/>
      <c r="C737" s="220"/>
      <c r="J737" s="133"/>
    </row>
    <row r="738" spans="2:10" ht="19.899999999999999" customHeight="1">
      <c r="B738" s="226"/>
      <c r="C738" s="220"/>
      <c r="J738" s="133"/>
    </row>
    <row r="739" spans="2:10" ht="19.899999999999999" customHeight="1">
      <c r="B739" s="226"/>
      <c r="C739" s="220"/>
      <c r="J739" s="133"/>
    </row>
    <row r="740" spans="2:10" ht="19.899999999999999" customHeight="1">
      <c r="B740" s="226"/>
      <c r="C740" s="220"/>
      <c r="J740" s="133"/>
    </row>
    <row r="741" spans="2:10" ht="19.899999999999999" customHeight="1">
      <c r="B741" s="226"/>
      <c r="C741" s="220"/>
      <c r="J741" s="133"/>
    </row>
    <row r="742" spans="2:10" ht="19.899999999999999" customHeight="1">
      <c r="B742" s="226"/>
      <c r="C742" s="220"/>
      <c r="J742" s="133"/>
    </row>
    <row r="743" spans="2:10" ht="19.899999999999999" customHeight="1">
      <c r="B743" s="226"/>
      <c r="C743" s="220"/>
      <c r="J743" s="133"/>
    </row>
    <row r="744" spans="2:10" ht="19.899999999999999" customHeight="1">
      <c r="B744" s="226"/>
      <c r="C744" s="220"/>
      <c r="J744" s="133"/>
    </row>
    <row r="745" spans="2:10" ht="19.899999999999999" customHeight="1">
      <c r="B745" s="226"/>
      <c r="C745" s="220"/>
      <c r="J745" s="133"/>
    </row>
    <row r="746" spans="2:10" ht="19.899999999999999" customHeight="1">
      <c r="B746" s="226"/>
      <c r="C746" s="220"/>
      <c r="J746" s="133"/>
    </row>
    <row r="747" spans="2:10" ht="19.899999999999999" customHeight="1">
      <c r="B747" s="226"/>
      <c r="C747" s="220"/>
      <c r="J747" s="133"/>
    </row>
    <row r="748" spans="2:10" ht="19.899999999999999" customHeight="1">
      <c r="B748" s="226"/>
      <c r="C748" s="220"/>
      <c r="J748" s="133"/>
    </row>
    <row r="749" spans="2:10" ht="19.899999999999999" customHeight="1">
      <c r="B749" s="226"/>
      <c r="C749" s="220"/>
      <c r="J749" s="133"/>
    </row>
    <row r="750" spans="2:10" ht="19.899999999999999" customHeight="1">
      <c r="B750" s="226"/>
      <c r="C750" s="220"/>
      <c r="J750" s="133"/>
    </row>
    <row r="751" spans="2:10" ht="19.899999999999999" customHeight="1">
      <c r="B751" s="226"/>
      <c r="C751" s="220"/>
      <c r="J751" s="133"/>
    </row>
    <row r="752" spans="2:10" ht="19.899999999999999" customHeight="1">
      <c r="B752" s="226"/>
      <c r="C752" s="220"/>
      <c r="J752" s="133"/>
    </row>
    <row r="753" spans="2:10" ht="19.899999999999999" customHeight="1">
      <c r="B753" s="226"/>
      <c r="C753" s="220"/>
      <c r="J753" s="133"/>
    </row>
    <row r="754" spans="2:10" ht="19.899999999999999" customHeight="1">
      <c r="B754" s="226"/>
      <c r="C754" s="220"/>
      <c r="J754" s="133"/>
    </row>
    <row r="755" spans="2:10" ht="19.899999999999999" customHeight="1">
      <c r="B755" s="226"/>
      <c r="C755" s="220"/>
      <c r="J755" s="133"/>
    </row>
    <row r="756" spans="2:10" ht="19.899999999999999" customHeight="1">
      <c r="B756" s="226"/>
      <c r="C756" s="220"/>
      <c r="J756" s="133"/>
    </row>
    <row r="757" spans="2:10" ht="19.899999999999999" customHeight="1">
      <c r="B757" s="226"/>
      <c r="C757" s="220"/>
      <c r="J757" s="133"/>
    </row>
    <row r="758" spans="2:10" ht="19.899999999999999" customHeight="1">
      <c r="B758" s="226"/>
      <c r="C758" s="220"/>
      <c r="J758" s="133"/>
    </row>
    <row r="759" spans="2:10" ht="19.899999999999999" customHeight="1">
      <c r="B759" s="226"/>
      <c r="C759" s="220"/>
      <c r="J759" s="133"/>
    </row>
    <row r="760" spans="2:10" ht="19.899999999999999" customHeight="1">
      <c r="B760" s="226"/>
      <c r="C760" s="220"/>
      <c r="J760" s="133"/>
    </row>
    <row r="761" spans="2:10" ht="19.899999999999999" customHeight="1">
      <c r="B761" s="226"/>
      <c r="C761" s="220"/>
      <c r="J761" s="133"/>
    </row>
    <row r="762" spans="2:10" ht="19.899999999999999" customHeight="1">
      <c r="B762" s="226"/>
      <c r="C762" s="220"/>
      <c r="J762" s="133"/>
    </row>
    <row r="763" spans="2:10" ht="19.899999999999999" customHeight="1">
      <c r="B763" s="226"/>
      <c r="C763" s="220"/>
      <c r="J763" s="133"/>
    </row>
    <row r="764" spans="2:10" ht="19.899999999999999" customHeight="1">
      <c r="B764" s="226"/>
      <c r="C764" s="220"/>
      <c r="J764" s="133"/>
    </row>
    <row r="765" spans="2:10" ht="19.899999999999999" customHeight="1">
      <c r="B765" s="226"/>
      <c r="C765" s="220"/>
      <c r="J765" s="133"/>
    </row>
    <row r="766" spans="2:10" ht="19.899999999999999" customHeight="1">
      <c r="B766" s="226"/>
      <c r="C766" s="220"/>
      <c r="J766" s="133"/>
    </row>
    <row r="767" spans="2:10" ht="19.899999999999999" customHeight="1">
      <c r="B767" s="226"/>
      <c r="C767" s="220"/>
      <c r="J767" s="133"/>
    </row>
    <row r="768" spans="2:10" ht="19.899999999999999" customHeight="1">
      <c r="B768" s="226"/>
      <c r="C768" s="220"/>
      <c r="J768" s="133"/>
    </row>
    <row r="769" spans="2:10" ht="19.899999999999999" customHeight="1">
      <c r="B769" s="226"/>
      <c r="C769" s="220"/>
      <c r="J769" s="133"/>
    </row>
    <row r="770" spans="2:10" ht="19.899999999999999" customHeight="1">
      <c r="B770" s="226"/>
      <c r="C770" s="220"/>
      <c r="J770" s="133"/>
    </row>
    <row r="771" spans="2:10" ht="19.899999999999999" customHeight="1">
      <c r="B771" s="226"/>
      <c r="C771" s="220"/>
      <c r="J771" s="133"/>
    </row>
    <row r="772" spans="2:10" ht="19.899999999999999" customHeight="1">
      <c r="B772" s="226"/>
      <c r="C772" s="220"/>
      <c r="J772" s="133"/>
    </row>
    <row r="773" spans="2:10" ht="19.899999999999999" customHeight="1">
      <c r="B773" s="226"/>
      <c r="C773" s="220"/>
      <c r="J773" s="133"/>
    </row>
    <row r="774" spans="2:10" ht="19.899999999999999" customHeight="1">
      <c r="B774" s="226"/>
      <c r="C774" s="220"/>
      <c r="J774" s="133"/>
    </row>
    <row r="775" spans="2:10" ht="19.899999999999999" customHeight="1">
      <c r="B775" s="226"/>
      <c r="C775" s="220"/>
      <c r="J775" s="133"/>
    </row>
    <row r="776" spans="2:10" ht="19.899999999999999" customHeight="1">
      <c r="B776" s="226"/>
      <c r="C776" s="220"/>
      <c r="J776" s="133"/>
    </row>
    <row r="777" spans="2:10" ht="19.899999999999999" customHeight="1">
      <c r="B777" s="226"/>
      <c r="C777" s="220"/>
      <c r="J777" s="133"/>
    </row>
    <row r="778" spans="2:10" ht="19.899999999999999" customHeight="1">
      <c r="B778" s="226"/>
      <c r="C778" s="220"/>
      <c r="J778" s="133"/>
    </row>
    <row r="779" spans="2:10" ht="19.899999999999999" customHeight="1">
      <c r="B779" s="226"/>
      <c r="C779" s="220"/>
      <c r="J779" s="133"/>
    </row>
    <row r="780" spans="2:10" ht="19.899999999999999" customHeight="1">
      <c r="B780" s="226"/>
      <c r="C780" s="220"/>
      <c r="J780" s="133"/>
    </row>
    <row r="781" spans="2:10" ht="19.899999999999999" customHeight="1">
      <c r="B781" s="226"/>
      <c r="C781" s="220"/>
      <c r="J781" s="133"/>
    </row>
    <row r="782" spans="2:10" ht="19.899999999999999" customHeight="1">
      <c r="B782" s="226"/>
      <c r="C782" s="220"/>
      <c r="J782" s="133"/>
    </row>
    <row r="783" spans="2:10" ht="19.899999999999999" customHeight="1">
      <c r="B783" s="226"/>
      <c r="C783" s="220"/>
      <c r="J783" s="133"/>
    </row>
    <row r="784" spans="2:10" ht="19.899999999999999" customHeight="1">
      <c r="B784" s="226"/>
      <c r="C784" s="220"/>
      <c r="J784" s="133"/>
    </row>
    <row r="785" spans="2:10" ht="19.899999999999999" customHeight="1">
      <c r="B785" s="226"/>
      <c r="C785" s="220"/>
      <c r="J785" s="133"/>
    </row>
    <row r="786" spans="2:10" ht="19.899999999999999" customHeight="1">
      <c r="B786" s="226"/>
      <c r="C786" s="220"/>
      <c r="J786" s="133"/>
    </row>
    <row r="787" spans="2:10" ht="19.899999999999999" customHeight="1">
      <c r="B787" s="226"/>
      <c r="C787" s="220"/>
      <c r="J787" s="133"/>
    </row>
    <row r="788" spans="2:10" ht="19.899999999999999" customHeight="1">
      <c r="B788" s="226"/>
      <c r="C788" s="220"/>
      <c r="J788" s="133"/>
    </row>
    <row r="789" spans="2:10" ht="19.899999999999999" customHeight="1">
      <c r="B789" s="226"/>
      <c r="C789" s="220"/>
      <c r="J789" s="133"/>
    </row>
    <row r="790" spans="2:10" ht="19.899999999999999" customHeight="1">
      <c r="B790" s="226"/>
      <c r="C790" s="220"/>
      <c r="J790" s="133"/>
    </row>
    <row r="791" spans="2:10" ht="19.899999999999999" customHeight="1">
      <c r="B791" s="226"/>
      <c r="C791" s="220"/>
      <c r="J791" s="133"/>
    </row>
    <row r="792" spans="2:10" ht="19.899999999999999" customHeight="1">
      <c r="B792" s="226"/>
      <c r="C792" s="220"/>
      <c r="J792" s="133"/>
    </row>
    <row r="793" spans="2:10" ht="19.899999999999999" customHeight="1">
      <c r="B793" s="226"/>
      <c r="C793" s="220"/>
      <c r="J793" s="133"/>
    </row>
    <row r="794" spans="2:10" ht="19.899999999999999" customHeight="1">
      <c r="B794" s="226"/>
      <c r="C794" s="220"/>
      <c r="J794" s="133"/>
    </row>
    <row r="795" spans="2:10" ht="19.899999999999999" customHeight="1">
      <c r="B795" s="226"/>
      <c r="C795" s="220"/>
      <c r="J795" s="133"/>
    </row>
    <row r="796" spans="2:10" ht="19.899999999999999" customHeight="1">
      <c r="B796" s="226"/>
      <c r="C796" s="220"/>
      <c r="J796" s="133"/>
    </row>
    <row r="797" spans="2:10" ht="19.899999999999999" customHeight="1">
      <c r="B797" s="226"/>
      <c r="C797" s="220"/>
      <c r="J797" s="133"/>
    </row>
    <row r="798" spans="2:10" ht="19.899999999999999" customHeight="1">
      <c r="B798" s="226"/>
      <c r="C798" s="220"/>
      <c r="J798" s="133"/>
    </row>
    <row r="799" spans="2:10" ht="19.899999999999999" customHeight="1">
      <c r="B799" s="226"/>
      <c r="C799" s="220"/>
      <c r="J799" s="133"/>
    </row>
    <row r="800" spans="2:10" ht="19.899999999999999" customHeight="1">
      <c r="B800" s="226"/>
      <c r="C800" s="220"/>
      <c r="J800" s="133"/>
    </row>
    <row r="801" spans="2:10" ht="19.899999999999999" customHeight="1">
      <c r="B801" s="226"/>
      <c r="C801" s="220"/>
      <c r="J801" s="133"/>
    </row>
    <row r="802" spans="2:10" ht="19.899999999999999" customHeight="1">
      <c r="B802" s="226"/>
      <c r="C802" s="220"/>
      <c r="J802" s="133"/>
    </row>
    <row r="803" spans="2:10" ht="19.899999999999999" customHeight="1">
      <c r="B803" s="226"/>
      <c r="C803" s="220"/>
      <c r="J803" s="133"/>
    </row>
    <row r="804" spans="2:10" ht="19.899999999999999" customHeight="1">
      <c r="B804" s="226"/>
      <c r="C804" s="220"/>
      <c r="J804" s="133"/>
    </row>
    <row r="805" spans="2:10" ht="19.899999999999999" customHeight="1">
      <c r="B805" s="226"/>
      <c r="C805" s="220"/>
      <c r="J805" s="133"/>
    </row>
    <row r="806" spans="2:10" ht="19.899999999999999" customHeight="1">
      <c r="B806" s="226"/>
      <c r="C806" s="220"/>
      <c r="J806" s="133"/>
    </row>
    <row r="807" spans="2:10" ht="19.899999999999999" customHeight="1">
      <c r="C807" s="220"/>
    </row>
    <row r="808" spans="2:10" ht="19.899999999999999" customHeight="1">
      <c r="C808" s="220"/>
    </row>
    <row r="809" spans="2:10" ht="19.899999999999999" customHeight="1">
      <c r="C809" s="220"/>
    </row>
    <row r="810" spans="2:10" ht="19.899999999999999" customHeight="1">
      <c r="C810" s="220"/>
    </row>
    <row r="811" spans="2:10" ht="19.899999999999999" customHeight="1">
      <c r="C811" s="220"/>
    </row>
    <row r="812" spans="2:10" ht="19.899999999999999" customHeight="1">
      <c r="C812" s="220"/>
    </row>
    <row r="813" spans="2:10" ht="19.899999999999999" customHeight="1">
      <c r="C813" s="220"/>
    </row>
    <row r="814" spans="2:10" ht="19.899999999999999" customHeight="1">
      <c r="C814" s="220"/>
    </row>
    <row r="815" spans="2:10" ht="19.899999999999999" customHeight="1">
      <c r="C815" s="220"/>
    </row>
    <row r="816" spans="2:10" ht="19.899999999999999" customHeight="1">
      <c r="C816" s="220"/>
    </row>
    <row r="817" spans="3:17" ht="19.899999999999999" customHeight="1">
      <c r="C817" s="220"/>
    </row>
    <row r="818" spans="3:17" ht="19.899999999999999" customHeight="1">
      <c r="C818" s="220"/>
    </row>
    <row r="819" spans="3:17" ht="19.899999999999999" customHeight="1">
      <c r="C819" s="220"/>
    </row>
    <row r="820" spans="3:17" ht="19.899999999999999" customHeight="1">
      <c r="C820" s="220"/>
    </row>
    <row r="821" spans="3:17" ht="19.899999999999999" customHeight="1">
      <c r="C821" s="220"/>
    </row>
    <row r="822" spans="3:17" ht="19.899999999999999" customHeight="1">
      <c r="C822" s="220"/>
    </row>
    <row r="823" spans="3:17" ht="19.899999999999999" customHeight="1">
      <c r="C823" s="220"/>
    </row>
    <row r="824" spans="3:17" ht="19.899999999999999" customHeight="1">
      <c r="C824" s="220"/>
    </row>
    <row r="825" spans="3:17" ht="19.899999999999999" customHeight="1">
      <c r="C825" s="220"/>
    </row>
    <row r="826" spans="3:17" ht="19.899999999999999" customHeight="1">
      <c r="C826" s="220"/>
    </row>
    <row r="827" spans="3:17" ht="19.899999999999999" customHeight="1">
      <c r="C827" s="220"/>
    </row>
    <row r="828" spans="3:17" ht="19.899999999999999" customHeight="1">
      <c r="C828" s="220"/>
    </row>
    <row r="829" spans="3:17" ht="19.899999999999999" customHeight="1">
      <c r="C829" s="220"/>
    </row>
    <row r="830" spans="3:17" ht="19.899999999999999" customHeight="1">
      <c r="C830" s="220"/>
    </row>
    <row r="831" spans="3:17" ht="19.899999999999999" customHeight="1">
      <c r="C831" s="220"/>
      <c r="Q831" s="137"/>
    </row>
    <row r="832" spans="3:17" ht="19.899999999999999" customHeight="1">
      <c r="C832" s="220"/>
    </row>
    <row r="833" spans="3:17" ht="19.899999999999999" customHeight="1">
      <c r="C833" s="220"/>
    </row>
    <row r="834" spans="3:17" ht="19.899999999999999" customHeight="1">
      <c r="C834" s="220"/>
    </row>
    <row r="835" spans="3:17" ht="19.899999999999999" customHeight="1">
      <c r="C835" s="220"/>
      <c r="Q835" s="137"/>
    </row>
    <row r="836" spans="3:17" ht="19.899999999999999" customHeight="1">
      <c r="C836" s="220"/>
    </row>
    <row r="837" spans="3:17" ht="19.899999999999999" customHeight="1">
      <c r="C837" s="220"/>
    </row>
    <row r="838" spans="3:17" ht="19.899999999999999" customHeight="1">
      <c r="C838" s="220"/>
    </row>
    <row r="839" spans="3:17" ht="19.899999999999999" customHeight="1">
      <c r="C839" s="220"/>
    </row>
    <row r="840" spans="3:17" ht="19.899999999999999" customHeight="1">
      <c r="C840" s="220"/>
    </row>
    <row r="841" spans="3:17" ht="19.899999999999999" customHeight="1">
      <c r="C841" s="220"/>
    </row>
    <row r="842" spans="3:17" ht="19.899999999999999" customHeight="1">
      <c r="C842" s="220"/>
    </row>
    <row r="843" spans="3:17" ht="19.899999999999999" customHeight="1">
      <c r="C843" s="220"/>
      <c r="Q843" s="137"/>
    </row>
    <row r="844" spans="3:17" ht="19.899999999999999" customHeight="1">
      <c r="C844" s="220"/>
    </row>
    <row r="845" spans="3:17" ht="19.899999999999999" customHeight="1">
      <c r="C845" s="220"/>
    </row>
    <row r="846" spans="3:17" ht="19.899999999999999" customHeight="1">
      <c r="C846" s="220"/>
    </row>
    <row r="847" spans="3:17" ht="19.899999999999999" customHeight="1">
      <c r="C847" s="220"/>
    </row>
    <row r="848" spans="3:17" ht="19.899999999999999" customHeight="1">
      <c r="C848" s="220"/>
    </row>
    <row r="849" spans="3:3" ht="19.899999999999999" customHeight="1">
      <c r="C849" s="220"/>
    </row>
    <row r="850" spans="3:3" ht="19.899999999999999" customHeight="1">
      <c r="C850" s="220"/>
    </row>
    <row r="851" spans="3:3" ht="19.899999999999999" customHeight="1">
      <c r="C851" s="220"/>
    </row>
    <row r="852" spans="3:3" ht="19.899999999999999" customHeight="1">
      <c r="C852" s="220"/>
    </row>
    <row r="853" spans="3:3" ht="19.899999999999999" customHeight="1">
      <c r="C853" s="220"/>
    </row>
    <row r="854" spans="3:3" ht="19.899999999999999" customHeight="1">
      <c r="C854" s="220"/>
    </row>
    <row r="855" spans="3:3" ht="19.899999999999999" customHeight="1">
      <c r="C855" s="220"/>
    </row>
    <row r="856" spans="3:3" ht="19.899999999999999" customHeight="1">
      <c r="C856" s="220"/>
    </row>
    <row r="857" spans="3:3" ht="19.899999999999999" customHeight="1">
      <c r="C857" s="220"/>
    </row>
    <row r="858" spans="3:3" ht="19.899999999999999" customHeight="1">
      <c r="C858" s="220"/>
    </row>
    <row r="859" spans="3:3" ht="19.899999999999999" customHeight="1">
      <c r="C859" s="220"/>
    </row>
    <row r="860" spans="3:3" ht="19.899999999999999" customHeight="1">
      <c r="C860" s="220"/>
    </row>
    <row r="861" spans="3:3" ht="19.899999999999999" customHeight="1">
      <c r="C861" s="220"/>
    </row>
    <row r="862" spans="3:3" ht="19.899999999999999" customHeight="1">
      <c r="C862" s="220"/>
    </row>
    <row r="863" spans="3:3" ht="19.899999999999999" customHeight="1">
      <c r="C863" s="220"/>
    </row>
    <row r="864" spans="3:3" ht="19.899999999999999" customHeight="1">
      <c r="C864" s="220"/>
    </row>
    <row r="865" spans="3:3" ht="19.899999999999999" customHeight="1">
      <c r="C865" s="220"/>
    </row>
    <row r="866" spans="3:3" ht="19.899999999999999" customHeight="1">
      <c r="C866" s="220"/>
    </row>
    <row r="867" spans="3:3" ht="19.899999999999999" customHeight="1">
      <c r="C867" s="220"/>
    </row>
    <row r="868" spans="3:3" ht="19.899999999999999" customHeight="1">
      <c r="C868" s="220"/>
    </row>
    <row r="869" spans="3:3" ht="19.899999999999999" customHeight="1">
      <c r="C869" s="220"/>
    </row>
    <row r="870" spans="3:3" ht="19.899999999999999" customHeight="1">
      <c r="C870" s="220"/>
    </row>
    <row r="871" spans="3:3" ht="19.899999999999999" customHeight="1">
      <c r="C871" s="220"/>
    </row>
    <row r="872" spans="3:3" ht="19.899999999999999" customHeight="1">
      <c r="C872" s="220"/>
    </row>
    <row r="873" spans="3:3" ht="19.899999999999999" customHeight="1">
      <c r="C873" s="220"/>
    </row>
    <row r="874" spans="3:3" ht="19.899999999999999" customHeight="1">
      <c r="C874" s="220"/>
    </row>
    <row r="875" spans="3:3" ht="19.899999999999999" customHeight="1">
      <c r="C875" s="220"/>
    </row>
    <row r="876" spans="3:3" ht="19.899999999999999" customHeight="1">
      <c r="C876" s="220"/>
    </row>
    <row r="877" spans="3:3" ht="19.899999999999999" customHeight="1">
      <c r="C877" s="220"/>
    </row>
    <row r="878" spans="3:3" ht="19.899999999999999" customHeight="1">
      <c r="C878" s="220"/>
    </row>
    <row r="879" spans="3:3" ht="19.899999999999999" customHeight="1">
      <c r="C879" s="220"/>
    </row>
    <row r="880" spans="3:3" ht="19.899999999999999" customHeight="1">
      <c r="C880" s="220"/>
    </row>
    <row r="881" spans="3:3" ht="19.899999999999999" customHeight="1">
      <c r="C881" s="220"/>
    </row>
    <row r="882" spans="3:3" ht="19.899999999999999" customHeight="1">
      <c r="C882" s="220"/>
    </row>
    <row r="883" spans="3:3" ht="19.899999999999999" customHeight="1">
      <c r="C883" s="220"/>
    </row>
    <row r="884" spans="3:3" ht="19.899999999999999" customHeight="1">
      <c r="C884" s="220"/>
    </row>
    <row r="885" spans="3:3" ht="19.899999999999999" customHeight="1">
      <c r="C885" s="220"/>
    </row>
    <row r="886" spans="3:3" ht="19.899999999999999" customHeight="1">
      <c r="C886" s="220"/>
    </row>
    <row r="887" spans="3:3" ht="19.899999999999999" customHeight="1">
      <c r="C887" s="220"/>
    </row>
    <row r="888" spans="3:3" ht="19.899999999999999" customHeight="1">
      <c r="C888" s="220"/>
    </row>
    <row r="889" spans="3:3" ht="19.899999999999999" customHeight="1">
      <c r="C889" s="220"/>
    </row>
    <row r="890" spans="3:3" ht="19.899999999999999" customHeight="1">
      <c r="C890" s="220"/>
    </row>
    <row r="891" spans="3:3" ht="19.899999999999999" customHeight="1">
      <c r="C891" s="220"/>
    </row>
    <row r="892" spans="3:3" ht="19.899999999999999" customHeight="1">
      <c r="C892" s="220"/>
    </row>
    <row r="893" spans="3:3" ht="19.899999999999999" customHeight="1">
      <c r="C893" s="220"/>
    </row>
    <row r="894" spans="3:3" ht="19.899999999999999" customHeight="1">
      <c r="C894" s="220"/>
    </row>
    <row r="895" spans="3:3" ht="19.899999999999999" customHeight="1">
      <c r="C895" s="220"/>
    </row>
    <row r="896" spans="3:3" ht="19.899999999999999" customHeight="1">
      <c r="C896" s="220"/>
    </row>
    <row r="897" spans="3:3" ht="19.899999999999999" customHeight="1">
      <c r="C897" s="220"/>
    </row>
    <row r="898" spans="3:3" ht="19.899999999999999" customHeight="1">
      <c r="C898" s="220"/>
    </row>
    <row r="899" spans="3:3" ht="19.899999999999999" customHeight="1">
      <c r="C899" s="220"/>
    </row>
    <row r="900" spans="3:3" ht="19.899999999999999" customHeight="1">
      <c r="C900" s="220"/>
    </row>
    <row r="901" spans="3:3" ht="19.899999999999999" customHeight="1">
      <c r="C901" s="220"/>
    </row>
    <row r="902" spans="3:3" ht="19.899999999999999" customHeight="1">
      <c r="C902" s="220"/>
    </row>
    <row r="903" spans="3:3" ht="19.899999999999999" customHeight="1">
      <c r="C903" s="220"/>
    </row>
    <row r="904" spans="3:3" ht="19.899999999999999" customHeight="1">
      <c r="C904" s="220"/>
    </row>
    <row r="905" spans="3:3" ht="19.899999999999999" customHeight="1">
      <c r="C905" s="220"/>
    </row>
    <row r="906" spans="3:3" ht="19.899999999999999" customHeight="1">
      <c r="C906" s="220"/>
    </row>
    <row r="907" spans="3:3" ht="19.899999999999999" customHeight="1">
      <c r="C907" s="220"/>
    </row>
    <row r="908" spans="3:3" ht="19.899999999999999" customHeight="1">
      <c r="C908" s="220"/>
    </row>
    <row r="909" spans="3:3" ht="19.899999999999999" customHeight="1">
      <c r="C909" s="220"/>
    </row>
    <row r="910" spans="3:3" ht="19.899999999999999" customHeight="1">
      <c r="C910" s="220"/>
    </row>
    <row r="911" spans="3:3" ht="19.899999999999999" customHeight="1">
      <c r="C911" s="220"/>
    </row>
    <row r="912" spans="3:3" ht="19.899999999999999" customHeight="1">
      <c r="C912" s="220"/>
    </row>
    <row r="913" spans="3:3" ht="19.899999999999999" customHeight="1">
      <c r="C913" s="220"/>
    </row>
    <row r="914" spans="3:3" ht="19.899999999999999" customHeight="1">
      <c r="C914" s="220"/>
    </row>
    <row r="915" spans="3:3" ht="19.899999999999999" customHeight="1">
      <c r="C915" s="220"/>
    </row>
    <row r="916" spans="3:3" ht="19.899999999999999" customHeight="1">
      <c r="C916" s="220"/>
    </row>
    <row r="917" spans="3:3" ht="19.899999999999999" customHeight="1">
      <c r="C917" s="220"/>
    </row>
    <row r="918" spans="3:3" ht="19.899999999999999" customHeight="1">
      <c r="C918" s="220"/>
    </row>
    <row r="919" spans="3:3" ht="19.899999999999999" customHeight="1">
      <c r="C919" s="220"/>
    </row>
    <row r="920" spans="3:3" ht="19.899999999999999" customHeight="1">
      <c r="C920" s="220"/>
    </row>
    <row r="921" spans="3:3" ht="19.899999999999999" customHeight="1">
      <c r="C921" s="220"/>
    </row>
    <row r="922" spans="3:3" ht="19.899999999999999" customHeight="1">
      <c r="C922" s="220"/>
    </row>
    <row r="923" spans="3:3" ht="19.899999999999999" customHeight="1">
      <c r="C923" s="220"/>
    </row>
    <row r="924" spans="3:3" ht="19.899999999999999" customHeight="1">
      <c r="C924" s="220"/>
    </row>
    <row r="925" spans="3:3" ht="19.899999999999999" customHeight="1">
      <c r="C925" s="220"/>
    </row>
    <row r="926" spans="3:3" ht="19.899999999999999" customHeight="1">
      <c r="C926" s="220"/>
    </row>
    <row r="927" spans="3:3" ht="19.899999999999999" customHeight="1">
      <c r="C927" s="220"/>
    </row>
    <row r="928" spans="3:3" ht="19.899999999999999" customHeight="1">
      <c r="C928" s="220"/>
    </row>
    <row r="929" spans="3:17" ht="19.899999999999999" customHeight="1">
      <c r="C929" s="220"/>
    </row>
    <row r="930" spans="3:17" ht="19.899999999999999" customHeight="1">
      <c r="C930" s="220"/>
    </row>
    <row r="931" spans="3:17" ht="19.899999999999999" customHeight="1">
      <c r="C931" s="220"/>
    </row>
    <row r="932" spans="3:17" ht="19.899999999999999" customHeight="1">
      <c r="C932" s="220"/>
    </row>
    <row r="933" spans="3:17" ht="19.899999999999999" customHeight="1">
      <c r="C933" s="220"/>
    </row>
    <row r="934" spans="3:17" ht="19.899999999999999" customHeight="1">
      <c r="C934" s="220"/>
    </row>
    <row r="935" spans="3:17" ht="19.899999999999999" customHeight="1">
      <c r="C935" s="220"/>
    </row>
    <row r="936" spans="3:17" ht="19.899999999999999" customHeight="1">
      <c r="C936" s="220"/>
    </row>
    <row r="937" spans="3:17" ht="19.899999999999999" customHeight="1">
      <c r="C937" s="220"/>
    </row>
    <row r="938" spans="3:17" ht="19.899999999999999" customHeight="1">
      <c r="C938" s="220"/>
      <c r="Q938" s="137"/>
    </row>
    <row r="939" spans="3:17" ht="19.899999999999999" customHeight="1">
      <c r="C939" s="220"/>
    </row>
    <row r="940" spans="3:17" ht="19.899999999999999" customHeight="1">
      <c r="C940" s="220"/>
    </row>
    <row r="941" spans="3:17" ht="19.899999999999999" customHeight="1">
      <c r="C941" s="220"/>
    </row>
    <row r="942" spans="3:17" ht="19.899999999999999" customHeight="1">
      <c r="C942" s="220"/>
    </row>
    <row r="943" spans="3:17" ht="19.899999999999999" customHeight="1">
      <c r="C943" s="220"/>
    </row>
    <row r="944" spans="3:17" ht="19.899999999999999" customHeight="1">
      <c r="C944" s="220"/>
    </row>
    <row r="945" spans="3:5" ht="19.899999999999999" customHeight="1">
      <c r="C945" s="220"/>
    </row>
    <row r="946" spans="3:5" ht="19.899999999999999" customHeight="1">
      <c r="C946" s="220"/>
    </row>
    <row r="947" spans="3:5" ht="19.899999999999999" customHeight="1">
      <c r="C947" s="220"/>
    </row>
    <row r="948" spans="3:5" ht="19.899999999999999" customHeight="1">
      <c r="C948" s="220"/>
    </row>
    <row r="949" spans="3:5" ht="19.899999999999999" customHeight="1">
      <c r="C949" s="220"/>
    </row>
    <row r="950" spans="3:5" ht="19.899999999999999" customHeight="1">
      <c r="C950" s="220"/>
    </row>
    <row r="951" spans="3:5" ht="19.899999999999999" customHeight="1">
      <c r="C951" s="220"/>
    </row>
    <row r="952" spans="3:5" ht="19.899999999999999" customHeight="1">
      <c r="C952" s="220"/>
    </row>
    <row r="953" spans="3:5" ht="19.899999999999999" customHeight="1">
      <c r="C953" s="220"/>
    </row>
    <row r="954" spans="3:5" ht="19.899999999999999" customHeight="1">
      <c r="C954" s="220"/>
      <c r="D954" s="195"/>
      <c r="E954" s="196"/>
    </row>
    <row r="955" spans="3:5" ht="19.899999999999999" customHeight="1">
      <c r="C955" s="220"/>
    </row>
    <row r="956" spans="3:5" ht="19.899999999999999" customHeight="1">
      <c r="C956" s="220"/>
    </row>
    <row r="957" spans="3:5" ht="19.899999999999999" customHeight="1">
      <c r="C957" s="220"/>
    </row>
    <row r="958" spans="3:5" ht="19.899999999999999" customHeight="1">
      <c r="C958" s="220"/>
    </row>
    <row r="959" spans="3:5" ht="19.899999999999999" customHeight="1">
      <c r="C959" s="220"/>
    </row>
    <row r="960" spans="3:5" ht="19.899999999999999" customHeight="1">
      <c r="C960" s="220"/>
    </row>
    <row r="961" spans="3:3" ht="19.899999999999999" customHeight="1">
      <c r="C961" s="220"/>
    </row>
    <row r="962" spans="3:3" ht="19.899999999999999" customHeight="1">
      <c r="C962" s="220"/>
    </row>
    <row r="963" spans="3:3" ht="19.899999999999999" customHeight="1">
      <c r="C963" s="220"/>
    </row>
    <row r="964" spans="3:3" ht="19.899999999999999" customHeight="1">
      <c r="C964" s="220"/>
    </row>
    <row r="965" spans="3:3" ht="19.899999999999999" customHeight="1">
      <c r="C965" s="220"/>
    </row>
    <row r="966" spans="3:3" ht="19.899999999999999" customHeight="1">
      <c r="C966" s="220"/>
    </row>
    <row r="967" spans="3:3" ht="19.899999999999999" customHeight="1">
      <c r="C967" s="220"/>
    </row>
    <row r="968" spans="3:3" ht="19.899999999999999" customHeight="1">
      <c r="C968" s="220"/>
    </row>
    <row r="969" spans="3:3" ht="19.899999999999999" customHeight="1">
      <c r="C969" s="220"/>
    </row>
    <row r="970" spans="3:3" ht="19.899999999999999" customHeight="1">
      <c r="C970" s="220"/>
    </row>
    <row r="971" spans="3:3" ht="19.899999999999999" customHeight="1">
      <c r="C971" s="220"/>
    </row>
    <row r="972" spans="3:3" ht="19.899999999999999" customHeight="1">
      <c r="C972" s="220"/>
    </row>
    <row r="973" spans="3:3" ht="19.899999999999999" customHeight="1">
      <c r="C973" s="220"/>
    </row>
    <row r="974" spans="3:3" ht="19.899999999999999" customHeight="1">
      <c r="C974" s="220"/>
    </row>
    <row r="975" spans="3:3" ht="19.899999999999999" customHeight="1">
      <c r="C975" s="220"/>
    </row>
    <row r="976" spans="3:3" ht="19.899999999999999" customHeight="1">
      <c r="C976" s="220"/>
    </row>
    <row r="977" spans="3:17" ht="19.899999999999999" customHeight="1">
      <c r="C977" s="220"/>
      <c r="Q977" s="137"/>
    </row>
    <row r="978" spans="3:17" ht="19.899999999999999" customHeight="1">
      <c r="C978" s="220"/>
    </row>
    <row r="979" spans="3:17" ht="19.899999999999999" customHeight="1">
      <c r="C979" s="220"/>
    </row>
    <row r="980" spans="3:17" ht="19.899999999999999" customHeight="1">
      <c r="C980" s="220"/>
    </row>
    <row r="981" spans="3:17" ht="19.899999999999999" customHeight="1">
      <c r="C981" s="220"/>
    </row>
    <row r="982" spans="3:17" ht="19.899999999999999" customHeight="1">
      <c r="C982" s="220"/>
    </row>
    <row r="983" spans="3:17" ht="19.899999999999999" customHeight="1">
      <c r="C983" s="220"/>
    </row>
    <row r="984" spans="3:17" ht="19.899999999999999" customHeight="1">
      <c r="C984" s="220"/>
    </row>
    <row r="985" spans="3:17" ht="19.899999999999999" customHeight="1">
      <c r="C985" s="220"/>
    </row>
    <row r="986" spans="3:17" ht="19.899999999999999" customHeight="1">
      <c r="C986" s="220"/>
    </row>
    <row r="987" spans="3:17" ht="19.899999999999999" customHeight="1">
      <c r="C987" s="220"/>
    </row>
    <row r="988" spans="3:17" ht="19.899999999999999" customHeight="1">
      <c r="C988" s="220"/>
    </row>
    <row r="989" spans="3:17" ht="19.899999999999999" customHeight="1">
      <c r="C989" s="220"/>
    </row>
    <row r="990" spans="3:17" ht="19.899999999999999" customHeight="1">
      <c r="C990" s="220"/>
    </row>
    <row r="991" spans="3:17" ht="19.899999999999999" customHeight="1">
      <c r="C991" s="220"/>
    </row>
    <row r="992" spans="3:17" ht="19.899999999999999" customHeight="1">
      <c r="C992" s="220"/>
    </row>
    <row r="993" spans="3:3" ht="19.899999999999999" customHeight="1">
      <c r="C993" s="220"/>
    </row>
    <row r="994" spans="3:3" ht="19.899999999999999" customHeight="1">
      <c r="C994" s="220"/>
    </row>
    <row r="995" spans="3:3" ht="19.899999999999999" customHeight="1">
      <c r="C995" s="220"/>
    </row>
    <row r="996" spans="3:3" ht="19.899999999999999" customHeight="1">
      <c r="C996" s="220"/>
    </row>
    <row r="997" spans="3:3" ht="19.899999999999999" customHeight="1">
      <c r="C997" s="220"/>
    </row>
    <row r="998" spans="3:3" ht="19.899999999999999" customHeight="1">
      <c r="C998" s="220"/>
    </row>
    <row r="999" spans="3:3" ht="19.899999999999999" customHeight="1">
      <c r="C999" s="220"/>
    </row>
    <row r="1000" spans="3:3" ht="19.899999999999999" customHeight="1">
      <c r="C1000" s="220"/>
    </row>
    <row r="1001" spans="3:3" ht="19.899999999999999" customHeight="1">
      <c r="C1001" s="220"/>
    </row>
    <row r="1002" spans="3:3" ht="19.899999999999999" customHeight="1">
      <c r="C1002" s="220"/>
    </row>
    <row r="1003" spans="3:3" ht="19.899999999999999" customHeight="1">
      <c r="C1003" s="220"/>
    </row>
    <row r="1004" spans="3:3" ht="19.899999999999999" customHeight="1">
      <c r="C1004" s="220"/>
    </row>
    <row r="1005" spans="3:3" ht="19.899999999999999" customHeight="1">
      <c r="C1005" s="220"/>
    </row>
    <row r="1006" spans="3:3" ht="19.899999999999999" customHeight="1">
      <c r="C1006" s="220"/>
    </row>
    <row r="1007" spans="3:3" ht="19.899999999999999" customHeight="1">
      <c r="C1007" s="220"/>
    </row>
    <row r="1008" spans="3:3" ht="19.899999999999999" customHeight="1">
      <c r="C1008" s="220"/>
    </row>
    <row r="1009" spans="3:3" ht="19.899999999999999" customHeight="1">
      <c r="C1009" s="220"/>
    </row>
    <row r="1010" spans="3:3" ht="19.899999999999999" customHeight="1">
      <c r="C1010" s="220"/>
    </row>
    <row r="1011" spans="3:3" ht="19.899999999999999" customHeight="1">
      <c r="C1011" s="220"/>
    </row>
    <row r="1012" spans="3:3" ht="19.899999999999999" customHeight="1">
      <c r="C1012" s="220"/>
    </row>
    <row r="1013" spans="3:3" ht="19.899999999999999" customHeight="1">
      <c r="C1013" s="220"/>
    </row>
    <row r="1014" spans="3:3" ht="19.899999999999999" customHeight="1">
      <c r="C1014" s="220"/>
    </row>
    <row r="1015" spans="3:3" ht="19.899999999999999" customHeight="1">
      <c r="C1015" s="220"/>
    </row>
    <row r="1016" spans="3:3" ht="19.899999999999999" customHeight="1">
      <c r="C1016" s="220"/>
    </row>
    <row r="1017" spans="3:3" ht="19.899999999999999" customHeight="1">
      <c r="C1017" s="220"/>
    </row>
    <row r="1018" spans="3:3" ht="19.899999999999999" customHeight="1">
      <c r="C1018" s="220"/>
    </row>
    <row r="1019" spans="3:3" ht="19.899999999999999" customHeight="1">
      <c r="C1019" s="220"/>
    </row>
    <row r="1020" spans="3:3" ht="19.899999999999999" customHeight="1">
      <c r="C1020" s="220"/>
    </row>
    <row r="1021" spans="3:3" ht="19.899999999999999" customHeight="1">
      <c r="C1021" s="220"/>
    </row>
    <row r="1022" spans="3:3" ht="19.899999999999999" customHeight="1">
      <c r="C1022" s="220"/>
    </row>
    <row r="1023" spans="3:3" ht="19.899999999999999" customHeight="1">
      <c r="C1023" s="220"/>
    </row>
    <row r="1024" spans="3:3" ht="19.899999999999999" customHeight="1">
      <c r="C1024" s="220"/>
    </row>
    <row r="1025" spans="3:17" ht="19.899999999999999" customHeight="1">
      <c r="C1025" s="220"/>
    </row>
    <row r="1026" spans="3:17" ht="19.899999999999999" customHeight="1">
      <c r="C1026" s="220"/>
    </row>
    <row r="1027" spans="3:17" ht="19.899999999999999" customHeight="1">
      <c r="C1027" s="220"/>
    </row>
    <row r="1028" spans="3:17" ht="19.899999999999999" customHeight="1">
      <c r="C1028" s="220"/>
    </row>
    <row r="1029" spans="3:17" ht="19.899999999999999" customHeight="1">
      <c r="C1029" s="220"/>
    </row>
    <row r="1030" spans="3:17" ht="19.899999999999999" customHeight="1">
      <c r="C1030" s="220"/>
    </row>
    <row r="1031" spans="3:17" ht="19.899999999999999" customHeight="1">
      <c r="C1031" s="220"/>
    </row>
    <row r="1032" spans="3:17" ht="19.899999999999999" customHeight="1">
      <c r="C1032" s="220"/>
    </row>
    <row r="1033" spans="3:17" ht="19.899999999999999" customHeight="1">
      <c r="C1033" s="220"/>
    </row>
    <row r="1034" spans="3:17" ht="19.899999999999999" customHeight="1">
      <c r="C1034" s="220"/>
    </row>
    <row r="1035" spans="3:17" ht="19.899999999999999" customHeight="1">
      <c r="C1035" s="220"/>
    </row>
    <row r="1036" spans="3:17" ht="19.899999999999999" customHeight="1">
      <c r="C1036" s="220"/>
    </row>
    <row r="1037" spans="3:17" ht="19.899999999999999" customHeight="1">
      <c r="C1037" s="220"/>
    </row>
    <row r="1038" spans="3:17" ht="19.899999999999999" customHeight="1">
      <c r="C1038" s="220"/>
      <c r="Q1038" s="137"/>
    </row>
    <row r="1039" spans="3:17" ht="19.899999999999999" customHeight="1">
      <c r="C1039" s="220"/>
    </row>
    <row r="1040" spans="3:17" ht="19.899999999999999" customHeight="1">
      <c r="C1040" s="220"/>
    </row>
    <row r="1041" spans="3:3" ht="19.899999999999999" customHeight="1">
      <c r="C1041" s="220"/>
    </row>
    <row r="1042" spans="3:3" ht="19.899999999999999" customHeight="1">
      <c r="C1042" s="220"/>
    </row>
    <row r="1043" spans="3:3" ht="19.899999999999999" customHeight="1">
      <c r="C1043" s="220"/>
    </row>
    <row r="1044" spans="3:3" ht="19.899999999999999" customHeight="1">
      <c r="C1044" s="220"/>
    </row>
    <row r="1045" spans="3:3" ht="19.899999999999999" customHeight="1">
      <c r="C1045" s="220"/>
    </row>
    <row r="1046" spans="3:3" ht="19.899999999999999" customHeight="1">
      <c r="C1046" s="220"/>
    </row>
    <row r="1047" spans="3:3" ht="19.899999999999999" customHeight="1">
      <c r="C1047" s="220"/>
    </row>
    <row r="1048" spans="3:3" ht="19.899999999999999" customHeight="1">
      <c r="C1048" s="220"/>
    </row>
    <row r="1049" spans="3:3" ht="19.899999999999999" customHeight="1">
      <c r="C1049" s="220"/>
    </row>
    <row r="1050" spans="3:3" ht="19.899999999999999" customHeight="1">
      <c r="C1050" s="220"/>
    </row>
    <row r="1051" spans="3:3" ht="19.899999999999999" customHeight="1">
      <c r="C1051" s="220"/>
    </row>
    <row r="1052" spans="3:3" ht="19.899999999999999" customHeight="1">
      <c r="C1052" s="220"/>
    </row>
    <row r="1053" spans="3:3" ht="19.899999999999999" customHeight="1">
      <c r="C1053" s="220"/>
    </row>
    <row r="1054" spans="3:3" ht="19.899999999999999" customHeight="1">
      <c r="C1054" s="220"/>
    </row>
    <row r="1055" spans="3:3" ht="19.899999999999999" customHeight="1">
      <c r="C1055" s="220"/>
    </row>
    <row r="1056" spans="3:3" ht="19.899999999999999" customHeight="1">
      <c r="C1056" s="220"/>
    </row>
    <row r="1057" spans="3:3" ht="19.899999999999999" customHeight="1">
      <c r="C1057" s="220"/>
    </row>
    <row r="1058" spans="3:3" ht="19.899999999999999" customHeight="1">
      <c r="C1058" s="220"/>
    </row>
    <row r="1059" spans="3:3" ht="19.899999999999999" customHeight="1">
      <c r="C1059" s="220"/>
    </row>
    <row r="1060" spans="3:3" ht="19.899999999999999" customHeight="1">
      <c r="C1060" s="220"/>
    </row>
    <row r="1061" spans="3:3" ht="19.899999999999999" customHeight="1">
      <c r="C1061" s="220"/>
    </row>
    <row r="1062" spans="3:3" ht="19.899999999999999" customHeight="1">
      <c r="C1062" s="220"/>
    </row>
    <row r="1063" spans="3:3" ht="19.899999999999999" customHeight="1">
      <c r="C1063" s="220"/>
    </row>
    <row r="1064" spans="3:3" ht="19.899999999999999" customHeight="1">
      <c r="C1064" s="220"/>
    </row>
    <row r="1065" spans="3:3" ht="19.899999999999999" customHeight="1">
      <c r="C1065" s="220"/>
    </row>
    <row r="1066" spans="3:3" ht="19.899999999999999" customHeight="1">
      <c r="C1066" s="220"/>
    </row>
    <row r="1067" spans="3:3" ht="19.899999999999999" customHeight="1">
      <c r="C1067" s="220"/>
    </row>
    <row r="1068" spans="3:3" ht="19.899999999999999" customHeight="1">
      <c r="C1068" s="220"/>
    </row>
    <row r="1069" spans="3:3" ht="19.899999999999999" customHeight="1">
      <c r="C1069" s="220"/>
    </row>
    <row r="1070" spans="3:3" ht="19.899999999999999" customHeight="1">
      <c r="C1070" s="220"/>
    </row>
    <row r="1071" spans="3:3" ht="19.899999999999999" customHeight="1">
      <c r="C1071" s="220"/>
    </row>
    <row r="1072" spans="3:3" ht="19.899999999999999" customHeight="1">
      <c r="C1072" s="220"/>
    </row>
    <row r="1073" spans="3:3" ht="19.899999999999999" customHeight="1">
      <c r="C1073" s="220"/>
    </row>
    <row r="1074" spans="3:3" ht="19.899999999999999" customHeight="1">
      <c r="C1074" s="220"/>
    </row>
    <row r="1075" spans="3:3" ht="19.899999999999999" customHeight="1">
      <c r="C1075" s="220"/>
    </row>
    <row r="1076" spans="3:3" ht="19.899999999999999" customHeight="1">
      <c r="C1076" s="220"/>
    </row>
    <row r="1077" spans="3:3" ht="19.899999999999999" customHeight="1">
      <c r="C1077" s="220"/>
    </row>
    <row r="1078" spans="3:3" ht="19.899999999999999" customHeight="1">
      <c r="C1078" s="220"/>
    </row>
    <row r="1079" spans="3:3" ht="19.899999999999999" customHeight="1">
      <c r="C1079" s="220"/>
    </row>
    <row r="1080" spans="3:3" ht="19.899999999999999" customHeight="1">
      <c r="C1080" s="220"/>
    </row>
    <row r="1081" spans="3:3" ht="19.899999999999999" customHeight="1">
      <c r="C1081" s="220"/>
    </row>
    <row r="1082" spans="3:3" ht="19.899999999999999" customHeight="1">
      <c r="C1082" s="220"/>
    </row>
    <row r="1083" spans="3:3" ht="19.899999999999999" customHeight="1">
      <c r="C1083" s="220"/>
    </row>
    <row r="1084" spans="3:3" ht="19.899999999999999" customHeight="1">
      <c r="C1084" s="220"/>
    </row>
    <row r="1085" spans="3:3" ht="19.899999999999999" customHeight="1">
      <c r="C1085" s="220"/>
    </row>
    <row r="1086" spans="3:3" ht="19.899999999999999" customHeight="1">
      <c r="C1086" s="220"/>
    </row>
    <row r="1087" spans="3:3" ht="19.899999999999999" customHeight="1">
      <c r="C1087" s="220"/>
    </row>
    <row r="1088" spans="3:3" ht="19.899999999999999" customHeight="1">
      <c r="C1088" s="220"/>
    </row>
    <row r="1089" spans="3:3" ht="19.899999999999999" customHeight="1">
      <c r="C1089" s="220"/>
    </row>
    <row r="1090" spans="3:3" ht="19.899999999999999" customHeight="1">
      <c r="C1090" s="220"/>
    </row>
    <row r="1091" spans="3:3" ht="19.899999999999999" customHeight="1">
      <c r="C1091" s="220"/>
    </row>
    <row r="1092" spans="3:3" ht="19.899999999999999" customHeight="1">
      <c r="C1092" s="220"/>
    </row>
    <row r="1093" spans="3:3" ht="19.899999999999999" customHeight="1">
      <c r="C1093" s="220"/>
    </row>
    <row r="1094" spans="3:3" ht="19.899999999999999" customHeight="1">
      <c r="C1094" s="220"/>
    </row>
    <row r="1095" spans="3:3" ht="19.899999999999999" customHeight="1">
      <c r="C1095" s="220"/>
    </row>
    <row r="1096" spans="3:3" ht="19.899999999999999" customHeight="1">
      <c r="C1096" s="220"/>
    </row>
    <row r="1097" spans="3:3" ht="19.899999999999999" customHeight="1">
      <c r="C1097" s="220"/>
    </row>
    <row r="1098" spans="3:3" ht="19.899999999999999" customHeight="1">
      <c r="C1098" s="220"/>
    </row>
    <row r="1099" spans="3:3" ht="19.899999999999999" customHeight="1">
      <c r="C1099" s="220"/>
    </row>
    <row r="1100" spans="3:3" ht="19.899999999999999" customHeight="1">
      <c r="C1100" s="220"/>
    </row>
    <row r="1101" spans="3:3" ht="19.899999999999999" customHeight="1">
      <c r="C1101" s="220"/>
    </row>
    <row r="1102" spans="3:3" ht="19.899999999999999" customHeight="1">
      <c r="C1102" s="220"/>
    </row>
    <row r="1103" spans="3:3" ht="19.899999999999999" customHeight="1">
      <c r="C1103" s="220"/>
    </row>
    <row r="1104" spans="3:3" ht="19.899999999999999" customHeight="1">
      <c r="C1104" s="220"/>
    </row>
    <row r="1105" spans="3:5" ht="19.899999999999999" customHeight="1">
      <c r="C1105" s="220"/>
    </row>
    <row r="1106" spans="3:5" ht="19.899999999999999" customHeight="1">
      <c r="C1106" s="220"/>
    </row>
    <row r="1107" spans="3:5" ht="19.899999999999999" customHeight="1">
      <c r="C1107" s="220"/>
    </row>
    <row r="1108" spans="3:5" ht="19.899999999999999" customHeight="1">
      <c r="C1108" s="220"/>
    </row>
    <row r="1109" spans="3:5" ht="19.899999999999999" customHeight="1">
      <c r="C1109" s="220"/>
    </row>
    <row r="1110" spans="3:5" ht="19.899999999999999" customHeight="1">
      <c r="C1110" s="220"/>
    </row>
    <row r="1111" spans="3:5" ht="19.899999999999999" customHeight="1">
      <c r="C1111" s="220"/>
    </row>
    <row r="1112" spans="3:5" ht="19.899999999999999" customHeight="1">
      <c r="C1112" s="220"/>
      <c r="D1112" s="195"/>
      <c r="E1112" s="196"/>
    </row>
    <row r="1113" spans="3:5" ht="19.899999999999999" customHeight="1">
      <c r="C1113" s="220"/>
    </row>
    <row r="1114" spans="3:5" ht="19.899999999999999" customHeight="1">
      <c r="C1114" s="220"/>
    </row>
    <row r="1115" spans="3:5" ht="19.899999999999999" customHeight="1">
      <c r="C1115" s="220"/>
    </row>
    <row r="1116" spans="3:5" ht="19.899999999999999" customHeight="1">
      <c r="C1116" s="220"/>
    </row>
    <row r="1117" spans="3:5" ht="19.899999999999999" customHeight="1">
      <c r="C1117" s="220"/>
    </row>
    <row r="1118" spans="3:5" ht="19.899999999999999" customHeight="1">
      <c r="C1118" s="220"/>
    </row>
    <row r="1119" spans="3:5" ht="19.899999999999999" customHeight="1">
      <c r="C1119" s="220"/>
    </row>
    <row r="1120" spans="3:5" ht="19.899999999999999" customHeight="1">
      <c r="C1120" s="220"/>
    </row>
    <row r="1121" spans="3:3" ht="19.899999999999999" customHeight="1">
      <c r="C1121" s="220"/>
    </row>
    <row r="1122" spans="3:3" ht="19.899999999999999" customHeight="1">
      <c r="C1122" s="220"/>
    </row>
    <row r="1123" spans="3:3" ht="19.899999999999999" customHeight="1">
      <c r="C1123" s="220"/>
    </row>
    <row r="1124" spans="3:3" ht="19.899999999999999" customHeight="1">
      <c r="C1124" s="220"/>
    </row>
    <row r="1125" spans="3:3" ht="19.899999999999999" customHeight="1">
      <c r="C1125" s="220"/>
    </row>
    <row r="1126" spans="3:3" ht="19.899999999999999" customHeight="1">
      <c r="C1126" s="220"/>
    </row>
    <row r="1127" spans="3:3" ht="19.899999999999999" customHeight="1">
      <c r="C1127" s="220"/>
    </row>
    <row r="1128" spans="3:3" ht="19.899999999999999" customHeight="1">
      <c r="C1128" s="220"/>
    </row>
    <row r="1129" spans="3:3" ht="19.899999999999999" customHeight="1">
      <c r="C1129" s="220"/>
    </row>
    <row r="1130" spans="3:3" ht="19.899999999999999" customHeight="1">
      <c r="C1130" s="220"/>
    </row>
    <row r="1131" spans="3:3" ht="19.899999999999999" customHeight="1">
      <c r="C1131" s="220"/>
    </row>
    <row r="1132" spans="3:3" ht="19.899999999999999" customHeight="1">
      <c r="C1132" s="220"/>
    </row>
    <row r="1133" spans="3:3" ht="19.899999999999999" customHeight="1">
      <c r="C1133" s="220"/>
    </row>
    <row r="1134" spans="3:3" ht="19.899999999999999" customHeight="1">
      <c r="C1134" s="220"/>
    </row>
    <row r="1135" spans="3:3" ht="19.899999999999999" customHeight="1">
      <c r="C1135" s="220"/>
    </row>
    <row r="1136" spans="3:3" ht="19.899999999999999" customHeight="1">
      <c r="C1136" s="220"/>
    </row>
    <row r="1137" spans="3:17" ht="19.899999999999999" customHeight="1">
      <c r="C1137" s="220"/>
    </row>
    <row r="1138" spans="3:17" ht="19.899999999999999" customHeight="1">
      <c r="C1138" s="220"/>
    </row>
    <row r="1139" spans="3:17" ht="19.899999999999999" customHeight="1">
      <c r="C1139" s="220"/>
    </row>
    <row r="1140" spans="3:17" ht="19.899999999999999" customHeight="1">
      <c r="C1140" s="220"/>
    </row>
    <row r="1141" spans="3:17" ht="19.899999999999999" customHeight="1">
      <c r="C1141" s="220"/>
    </row>
    <row r="1142" spans="3:17" ht="19.899999999999999" customHeight="1">
      <c r="C1142" s="220"/>
    </row>
    <row r="1143" spans="3:17" ht="19.899999999999999" customHeight="1">
      <c r="C1143" s="220"/>
    </row>
    <row r="1144" spans="3:17" ht="19.899999999999999" customHeight="1">
      <c r="C1144" s="220"/>
      <c r="Q1144" s="137"/>
    </row>
    <row r="1145" spans="3:17" ht="19.899999999999999" customHeight="1">
      <c r="C1145" s="220"/>
    </row>
    <row r="1146" spans="3:17" ht="19.899999999999999" customHeight="1">
      <c r="C1146" s="220"/>
    </row>
    <row r="1147" spans="3:17" ht="19.899999999999999" customHeight="1">
      <c r="C1147" s="220"/>
    </row>
    <row r="1148" spans="3:17" ht="19.899999999999999" customHeight="1">
      <c r="C1148" s="220"/>
    </row>
    <row r="1149" spans="3:17" ht="19.899999999999999" customHeight="1">
      <c r="C1149" s="220"/>
    </row>
    <row r="1150" spans="3:17" ht="19.899999999999999" customHeight="1">
      <c r="C1150" s="220"/>
    </row>
    <row r="1151" spans="3:17" ht="19.899999999999999" customHeight="1">
      <c r="C1151" s="220"/>
    </row>
    <row r="1152" spans="3:17" ht="19.899999999999999" customHeight="1">
      <c r="C1152" s="220"/>
    </row>
    <row r="1153" spans="3:3" ht="19.899999999999999" customHeight="1">
      <c r="C1153" s="220"/>
    </row>
    <row r="1154" spans="3:3" ht="19.899999999999999" customHeight="1">
      <c r="C1154" s="220"/>
    </row>
    <row r="1155" spans="3:3" ht="19.899999999999999" customHeight="1">
      <c r="C1155" s="220"/>
    </row>
    <row r="1156" spans="3:3" ht="19.899999999999999" customHeight="1">
      <c r="C1156" s="220"/>
    </row>
    <row r="1157" spans="3:3" ht="19.899999999999999" customHeight="1">
      <c r="C1157" s="220"/>
    </row>
    <row r="1158" spans="3:3" ht="19.899999999999999" customHeight="1">
      <c r="C1158" s="220"/>
    </row>
    <row r="1159" spans="3:3" ht="19.899999999999999" customHeight="1">
      <c r="C1159" s="220"/>
    </row>
    <row r="1160" spans="3:3" ht="19.899999999999999" customHeight="1">
      <c r="C1160" s="220"/>
    </row>
    <row r="1161" spans="3:3" ht="19.899999999999999" customHeight="1">
      <c r="C1161" s="220"/>
    </row>
    <row r="1162" spans="3:3" ht="19.899999999999999" customHeight="1">
      <c r="C1162" s="220"/>
    </row>
    <row r="1163" spans="3:3" ht="19.899999999999999" customHeight="1">
      <c r="C1163" s="220"/>
    </row>
    <row r="1164" spans="3:3" ht="19.899999999999999" customHeight="1">
      <c r="C1164" s="220"/>
    </row>
    <row r="1165" spans="3:3" ht="19.899999999999999" customHeight="1">
      <c r="C1165" s="220"/>
    </row>
    <row r="1166" spans="3:3" ht="19.899999999999999" customHeight="1">
      <c r="C1166" s="220"/>
    </row>
    <row r="1167" spans="3:3" ht="19.899999999999999" customHeight="1">
      <c r="C1167" s="220"/>
    </row>
    <row r="1168" spans="3:3" ht="19.899999999999999" customHeight="1">
      <c r="C1168" s="220"/>
    </row>
    <row r="1169" spans="3:17" ht="19.899999999999999" customHeight="1">
      <c r="C1169" s="220"/>
    </row>
    <row r="1170" spans="3:17" ht="19.899999999999999" customHeight="1">
      <c r="C1170" s="220"/>
    </row>
    <row r="1171" spans="3:17" ht="19.899999999999999" customHeight="1">
      <c r="C1171" s="220"/>
    </row>
    <row r="1172" spans="3:17" ht="19.899999999999999" customHeight="1">
      <c r="C1172" s="220"/>
    </row>
    <row r="1173" spans="3:17" ht="19.899999999999999" customHeight="1">
      <c r="C1173" s="220"/>
    </row>
    <row r="1174" spans="3:17" ht="19.899999999999999" customHeight="1">
      <c r="C1174" s="220"/>
    </row>
    <row r="1175" spans="3:17" ht="19.899999999999999" customHeight="1">
      <c r="C1175" s="220"/>
    </row>
    <row r="1176" spans="3:17" ht="19.899999999999999" customHeight="1">
      <c r="C1176" s="220"/>
    </row>
    <row r="1177" spans="3:17" ht="19.899999999999999" customHeight="1">
      <c r="C1177" s="220"/>
    </row>
    <row r="1178" spans="3:17" ht="19.899999999999999" customHeight="1">
      <c r="C1178" s="220"/>
    </row>
    <row r="1179" spans="3:17" ht="19.899999999999999" customHeight="1">
      <c r="C1179" s="220"/>
    </row>
    <row r="1180" spans="3:17" ht="19.899999999999999" customHeight="1">
      <c r="C1180" s="220"/>
      <c r="Q1180" s="137"/>
    </row>
    <row r="1181" spans="3:17" ht="19.899999999999999" customHeight="1">
      <c r="C1181" s="220"/>
    </row>
    <row r="1182" spans="3:17" ht="19.899999999999999" customHeight="1">
      <c r="C1182" s="220"/>
    </row>
    <row r="1183" spans="3:17" ht="19.899999999999999" customHeight="1">
      <c r="C1183" s="220"/>
    </row>
    <row r="1184" spans="3:17" ht="19.899999999999999" customHeight="1">
      <c r="C1184" s="220"/>
    </row>
    <row r="1185" spans="3:17" ht="19.899999999999999" customHeight="1">
      <c r="C1185" s="220"/>
    </row>
    <row r="1186" spans="3:17" ht="19.899999999999999" customHeight="1">
      <c r="C1186" s="220"/>
    </row>
    <row r="1187" spans="3:17" ht="19.899999999999999" customHeight="1">
      <c r="C1187" s="220"/>
    </row>
    <row r="1188" spans="3:17" ht="19.899999999999999" customHeight="1">
      <c r="C1188" s="220"/>
    </row>
    <row r="1189" spans="3:17" ht="19.899999999999999" customHeight="1">
      <c r="C1189" s="220"/>
    </row>
    <row r="1190" spans="3:17" ht="19.899999999999999" customHeight="1">
      <c r="C1190" s="220"/>
      <c r="Q1190" s="137"/>
    </row>
    <row r="1191" spans="3:17" ht="19.899999999999999" customHeight="1">
      <c r="C1191" s="220"/>
    </row>
    <row r="1192" spans="3:17" ht="19.899999999999999" customHeight="1">
      <c r="C1192" s="220"/>
    </row>
    <row r="1193" spans="3:17" ht="19.899999999999999" customHeight="1">
      <c r="C1193" s="220"/>
    </row>
    <row r="1194" spans="3:17" ht="19.899999999999999" customHeight="1">
      <c r="C1194" s="220"/>
    </row>
    <row r="1195" spans="3:17" ht="19.899999999999999" customHeight="1">
      <c r="C1195" s="220"/>
    </row>
    <row r="1196" spans="3:17" ht="19.899999999999999" customHeight="1">
      <c r="C1196" s="220"/>
    </row>
    <row r="1197" spans="3:17" ht="19.899999999999999" customHeight="1">
      <c r="C1197" s="220"/>
    </row>
    <row r="1198" spans="3:17" ht="19.899999999999999" customHeight="1">
      <c r="C1198" s="220"/>
    </row>
    <row r="1199" spans="3:17" ht="19.899999999999999" customHeight="1">
      <c r="C1199" s="220"/>
    </row>
    <row r="1200" spans="3:17" ht="19.899999999999999" customHeight="1">
      <c r="C1200" s="220"/>
    </row>
    <row r="1201" spans="3:17" ht="19.899999999999999" customHeight="1">
      <c r="C1201" s="220"/>
    </row>
    <row r="1202" spans="3:17" ht="19.899999999999999" customHeight="1">
      <c r="C1202" s="220"/>
    </row>
    <row r="1203" spans="3:17" ht="19.899999999999999" customHeight="1">
      <c r="C1203" s="220"/>
    </row>
    <row r="1204" spans="3:17" ht="19.899999999999999" customHeight="1">
      <c r="C1204" s="220"/>
    </row>
    <row r="1205" spans="3:17" ht="19.899999999999999" customHeight="1">
      <c r="C1205" s="220"/>
    </row>
    <row r="1206" spans="3:17" ht="19.899999999999999" customHeight="1">
      <c r="C1206" s="220"/>
      <c r="Q1206" s="137"/>
    </row>
    <row r="1207" spans="3:17" ht="19.899999999999999" customHeight="1">
      <c r="C1207" s="220"/>
    </row>
    <row r="1208" spans="3:17" ht="19.899999999999999" customHeight="1">
      <c r="C1208" s="220"/>
    </row>
    <row r="1209" spans="3:17" ht="19.899999999999999" customHeight="1">
      <c r="C1209" s="220"/>
    </row>
    <row r="1210" spans="3:17" ht="19.899999999999999" customHeight="1">
      <c r="C1210" s="220"/>
    </row>
    <row r="1211" spans="3:17" ht="19.899999999999999" customHeight="1">
      <c r="C1211" s="220"/>
    </row>
    <row r="1212" spans="3:17" ht="19.899999999999999" customHeight="1">
      <c r="C1212" s="220"/>
    </row>
    <row r="1213" spans="3:17" ht="19.899999999999999" customHeight="1">
      <c r="C1213" s="220"/>
    </row>
    <row r="1214" spans="3:17" ht="19.899999999999999" customHeight="1">
      <c r="C1214" s="220"/>
    </row>
    <row r="1215" spans="3:17" ht="19.899999999999999" customHeight="1">
      <c r="C1215" s="220"/>
    </row>
    <row r="1216" spans="3:17" ht="19.899999999999999" customHeight="1">
      <c r="C1216" s="220"/>
    </row>
    <row r="1217" spans="3:3" ht="19.899999999999999" customHeight="1">
      <c r="C1217" s="220"/>
    </row>
    <row r="1218" spans="3:3" ht="19.899999999999999" customHeight="1">
      <c r="C1218" s="220"/>
    </row>
    <row r="1219" spans="3:3" ht="19.899999999999999" customHeight="1">
      <c r="C1219" s="220"/>
    </row>
    <row r="1220" spans="3:3" ht="19.899999999999999" customHeight="1">
      <c r="C1220" s="220"/>
    </row>
    <row r="1221" spans="3:3" ht="19.899999999999999" customHeight="1">
      <c r="C1221" s="220"/>
    </row>
    <row r="1222" spans="3:3" ht="19.899999999999999" customHeight="1">
      <c r="C1222" s="220"/>
    </row>
    <row r="1223" spans="3:3" ht="19.899999999999999" customHeight="1">
      <c r="C1223" s="220"/>
    </row>
    <row r="1224" spans="3:3" ht="19.899999999999999" customHeight="1">
      <c r="C1224" s="220"/>
    </row>
    <row r="1225" spans="3:3" ht="19.899999999999999" customHeight="1">
      <c r="C1225" s="220"/>
    </row>
    <row r="1226" spans="3:3" ht="19.899999999999999" customHeight="1">
      <c r="C1226" s="220"/>
    </row>
    <row r="1227" spans="3:3" ht="19.899999999999999" customHeight="1">
      <c r="C1227" s="220"/>
    </row>
    <row r="1228" spans="3:3" ht="19.899999999999999" customHeight="1">
      <c r="C1228" s="220"/>
    </row>
    <row r="1229" spans="3:3" ht="19.899999999999999" customHeight="1">
      <c r="C1229" s="220"/>
    </row>
    <row r="1230" spans="3:3" ht="19.899999999999999" customHeight="1">
      <c r="C1230" s="220"/>
    </row>
    <row r="1231" spans="3:3" ht="19.899999999999999" customHeight="1">
      <c r="C1231" s="220"/>
    </row>
    <row r="1232" spans="3:3" ht="19.899999999999999" customHeight="1">
      <c r="C1232" s="220"/>
    </row>
    <row r="1233" spans="3:3" ht="19.899999999999999" customHeight="1">
      <c r="C1233" s="220"/>
    </row>
    <row r="1234" spans="3:3" ht="19.899999999999999" customHeight="1">
      <c r="C1234" s="220"/>
    </row>
    <row r="1235" spans="3:3" ht="19.899999999999999" customHeight="1">
      <c r="C1235" s="220"/>
    </row>
    <row r="1236" spans="3:3" ht="19.899999999999999" customHeight="1">
      <c r="C1236" s="220"/>
    </row>
    <row r="1237" spans="3:3" ht="19.899999999999999" customHeight="1">
      <c r="C1237" s="220"/>
    </row>
    <row r="1238" spans="3:3" ht="19.899999999999999" customHeight="1">
      <c r="C1238" s="220"/>
    </row>
    <row r="1239" spans="3:3" ht="19.899999999999999" customHeight="1">
      <c r="C1239" s="220"/>
    </row>
    <row r="1240" spans="3:3" ht="19.899999999999999" customHeight="1">
      <c r="C1240" s="220"/>
    </row>
    <row r="1241" spans="3:3" ht="19.899999999999999" customHeight="1">
      <c r="C1241" s="220"/>
    </row>
    <row r="1242" spans="3:3" ht="19.899999999999999" customHeight="1">
      <c r="C1242" s="220"/>
    </row>
    <row r="1243" spans="3:3" ht="19.899999999999999" customHeight="1">
      <c r="C1243" s="220"/>
    </row>
    <row r="1244" spans="3:3" ht="19.899999999999999" customHeight="1">
      <c r="C1244" s="220"/>
    </row>
    <row r="1245" spans="3:3" ht="19.899999999999999" customHeight="1">
      <c r="C1245" s="220"/>
    </row>
    <row r="1246" spans="3:3" ht="19.899999999999999" customHeight="1">
      <c r="C1246" s="220"/>
    </row>
    <row r="1247" spans="3:3" ht="19.899999999999999" customHeight="1">
      <c r="C1247" s="220"/>
    </row>
    <row r="1248" spans="3:3" ht="19.899999999999999" customHeight="1">
      <c r="C1248" s="220"/>
    </row>
    <row r="1249" spans="3:3" ht="19.899999999999999" customHeight="1">
      <c r="C1249" s="220"/>
    </row>
    <row r="1250" spans="3:3" ht="19.899999999999999" customHeight="1">
      <c r="C1250" s="220"/>
    </row>
    <row r="1251" spans="3:3" ht="19.899999999999999" customHeight="1">
      <c r="C1251" s="220"/>
    </row>
    <row r="1252" spans="3:3" ht="19.899999999999999" customHeight="1">
      <c r="C1252" s="220"/>
    </row>
    <row r="1253" spans="3:3" ht="19.899999999999999" customHeight="1">
      <c r="C1253" s="220"/>
    </row>
    <row r="1254" spans="3:3" ht="19.899999999999999" customHeight="1">
      <c r="C1254" s="220"/>
    </row>
    <row r="1255" spans="3:3" ht="19.899999999999999" customHeight="1">
      <c r="C1255" s="220"/>
    </row>
    <row r="1256" spans="3:3" ht="19.899999999999999" customHeight="1">
      <c r="C1256" s="220"/>
    </row>
    <row r="1257" spans="3:3" ht="19.899999999999999" customHeight="1">
      <c r="C1257" s="220"/>
    </row>
    <row r="1258" spans="3:3" ht="19.899999999999999" customHeight="1">
      <c r="C1258" s="220"/>
    </row>
    <row r="1259" spans="3:3" ht="19.899999999999999" customHeight="1">
      <c r="C1259" s="220"/>
    </row>
    <row r="1260" spans="3:3" ht="19.899999999999999" customHeight="1">
      <c r="C1260" s="220"/>
    </row>
    <row r="1261" spans="3:3" ht="19.899999999999999" customHeight="1">
      <c r="C1261" s="220"/>
    </row>
    <row r="1262" spans="3:3" ht="19.899999999999999" customHeight="1">
      <c r="C1262" s="220"/>
    </row>
    <row r="1263" spans="3:3" ht="19.899999999999999" customHeight="1">
      <c r="C1263" s="220"/>
    </row>
    <row r="1264" spans="3:3" ht="19.899999999999999" customHeight="1">
      <c r="C1264" s="220"/>
    </row>
    <row r="1265" spans="2:3" ht="19.899999999999999" customHeight="1">
      <c r="C1265" s="220"/>
    </row>
    <row r="1266" spans="2:3" ht="19.899999999999999" customHeight="1">
      <c r="C1266" s="220"/>
    </row>
    <row r="1267" spans="2:3" ht="19.899999999999999" customHeight="1">
      <c r="C1267" s="220"/>
    </row>
    <row r="1268" spans="2:3" ht="19.899999999999999" customHeight="1">
      <c r="B1268" s="226"/>
      <c r="C1268" s="220"/>
    </row>
    <row r="1269" spans="2:3" ht="19.899999999999999" customHeight="1">
      <c r="B1269" s="226"/>
      <c r="C1269" s="220"/>
    </row>
    <row r="1270" spans="2:3" ht="19.899999999999999" customHeight="1">
      <c r="B1270" s="226"/>
      <c r="C1270" s="220"/>
    </row>
    <row r="1271" spans="2:3" ht="19.899999999999999" customHeight="1">
      <c r="C1271" s="220"/>
    </row>
    <row r="1272" spans="2:3" ht="19.899999999999999" customHeight="1">
      <c r="C1272" s="220"/>
    </row>
    <row r="1273" spans="2:3" ht="19.899999999999999" customHeight="1">
      <c r="C1273" s="220"/>
    </row>
    <row r="1274" spans="2:3" ht="19.899999999999999" customHeight="1">
      <c r="C1274" s="220"/>
    </row>
    <row r="1275" spans="2:3" ht="19.899999999999999" customHeight="1">
      <c r="C1275" s="220"/>
    </row>
    <row r="1276" spans="2:3" ht="19.899999999999999" customHeight="1">
      <c r="C1276" s="220"/>
    </row>
    <row r="1277" spans="2:3" ht="19.899999999999999" customHeight="1">
      <c r="C1277" s="220"/>
    </row>
    <row r="1278" spans="2:3" ht="19.899999999999999" customHeight="1">
      <c r="C1278" s="220"/>
    </row>
    <row r="1279" spans="2:3" ht="19.899999999999999" customHeight="1">
      <c r="C1279" s="220"/>
    </row>
    <row r="1280" spans="2:3" ht="19.899999999999999" customHeight="1">
      <c r="C1280" s="220"/>
    </row>
    <row r="1281" spans="3:3" ht="19.899999999999999" customHeight="1">
      <c r="C1281" s="220"/>
    </row>
    <row r="1282" spans="3:3" ht="19.899999999999999" customHeight="1">
      <c r="C1282" s="220"/>
    </row>
    <row r="1283" spans="3:3" ht="19.899999999999999" customHeight="1">
      <c r="C1283" s="220"/>
    </row>
    <row r="1284" spans="3:3" ht="19.899999999999999" customHeight="1">
      <c r="C1284" s="220"/>
    </row>
    <row r="1285" spans="3:3" ht="19.899999999999999" customHeight="1">
      <c r="C1285" s="220"/>
    </row>
    <row r="1286" spans="3:3" ht="19.899999999999999" customHeight="1">
      <c r="C1286" s="220"/>
    </row>
    <row r="1287" spans="3:3" ht="19.899999999999999" customHeight="1">
      <c r="C1287" s="220"/>
    </row>
    <row r="1288" spans="3:3" ht="19.899999999999999" customHeight="1">
      <c r="C1288" s="220"/>
    </row>
    <row r="1289" spans="3:3" ht="19.899999999999999" customHeight="1">
      <c r="C1289" s="220"/>
    </row>
    <row r="1290" spans="3:3" ht="19.899999999999999" customHeight="1">
      <c r="C1290" s="220"/>
    </row>
    <row r="1291" spans="3:3" ht="19.899999999999999" customHeight="1">
      <c r="C1291" s="220"/>
    </row>
    <row r="1292" spans="3:3" ht="19.899999999999999" customHeight="1">
      <c r="C1292" s="220"/>
    </row>
    <row r="1293" spans="3:3" ht="19.899999999999999" customHeight="1">
      <c r="C1293" s="220"/>
    </row>
    <row r="1294" spans="3:3" ht="19.899999999999999" customHeight="1">
      <c r="C1294" s="220"/>
    </row>
    <row r="1295" spans="3:3" ht="19.899999999999999" customHeight="1">
      <c r="C1295" s="220"/>
    </row>
    <row r="1296" spans="3:3" ht="19.899999999999999" customHeight="1">
      <c r="C1296" s="220"/>
    </row>
    <row r="1297" spans="3:3" ht="19.899999999999999" customHeight="1">
      <c r="C1297" s="220"/>
    </row>
    <row r="1298" spans="3:3" ht="19.899999999999999" customHeight="1">
      <c r="C1298" s="220"/>
    </row>
    <row r="1299" spans="3:3" ht="19.899999999999999" customHeight="1">
      <c r="C1299" s="220"/>
    </row>
    <row r="1300" spans="3:3" ht="19.899999999999999" customHeight="1">
      <c r="C1300" s="220"/>
    </row>
    <row r="1301" spans="3:3" ht="19.899999999999999" customHeight="1">
      <c r="C1301" s="220"/>
    </row>
    <row r="1302" spans="3:3" ht="19.899999999999999" customHeight="1">
      <c r="C1302" s="220"/>
    </row>
    <row r="1303" spans="3:3" ht="19.899999999999999" customHeight="1">
      <c r="C1303" s="220"/>
    </row>
    <row r="1304" spans="3:3" ht="19.899999999999999" customHeight="1">
      <c r="C1304" s="220"/>
    </row>
    <row r="1305" spans="3:3" ht="19.899999999999999" customHeight="1">
      <c r="C1305" s="220"/>
    </row>
    <row r="1306" spans="3:3" ht="19.899999999999999" customHeight="1">
      <c r="C1306" s="220"/>
    </row>
    <row r="1307" spans="3:3" ht="19.899999999999999" customHeight="1">
      <c r="C1307" s="220"/>
    </row>
    <row r="1308" spans="3:3" ht="19.899999999999999" customHeight="1">
      <c r="C1308" s="220"/>
    </row>
    <row r="1309" spans="3:3" ht="19.899999999999999" customHeight="1">
      <c r="C1309" s="220"/>
    </row>
    <row r="1310" spans="3:3" ht="19.899999999999999" customHeight="1">
      <c r="C1310" s="220"/>
    </row>
    <row r="1311" spans="3:3" ht="19.899999999999999" customHeight="1">
      <c r="C1311" s="220"/>
    </row>
    <row r="1312" spans="3:3" ht="19.899999999999999" customHeight="1">
      <c r="C1312" s="220"/>
    </row>
    <row r="1313" spans="3:3" ht="19.899999999999999" customHeight="1">
      <c r="C1313" s="220"/>
    </row>
    <row r="1314" spans="3:3" ht="19.899999999999999" customHeight="1">
      <c r="C1314" s="220"/>
    </row>
    <row r="1315" spans="3:3" ht="19.899999999999999" customHeight="1">
      <c r="C1315" s="220"/>
    </row>
    <row r="1316" spans="3:3" ht="19.899999999999999" customHeight="1">
      <c r="C1316" s="220"/>
    </row>
    <row r="1317" spans="3:3" ht="19.899999999999999" customHeight="1">
      <c r="C1317" s="220"/>
    </row>
    <row r="1318" spans="3:3" ht="19.899999999999999" customHeight="1">
      <c r="C1318" s="220"/>
    </row>
    <row r="1319" spans="3:3" ht="19.899999999999999" customHeight="1">
      <c r="C1319" s="220"/>
    </row>
    <row r="1320" spans="3:3" ht="19.899999999999999" customHeight="1">
      <c r="C1320" s="220"/>
    </row>
    <row r="1321" spans="3:3" ht="19.899999999999999" customHeight="1">
      <c r="C1321" s="220"/>
    </row>
    <row r="1322" spans="3:3" ht="19.899999999999999" customHeight="1">
      <c r="C1322" s="220"/>
    </row>
    <row r="1323" spans="3:3" ht="19.899999999999999" customHeight="1">
      <c r="C1323" s="220"/>
    </row>
    <row r="1324" spans="3:3" ht="19.899999999999999" customHeight="1">
      <c r="C1324" s="220"/>
    </row>
    <row r="1325" spans="3:3" ht="19.899999999999999" customHeight="1">
      <c r="C1325" s="220"/>
    </row>
    <row r="1326" spans="3:3" ht="19.899999999999999" customHeight="1">
      <c r="C1326" s="220"/>
    </row>
    <row r="1327" spans="3:3" ht="19.899999999999999" customHeight="1">
      <c r="C1327" s="220"/>
    </row>
    <row r="1328" spans="3:3" ht="19.899999999999999" customHeight="1">
      <c r="C1328" s="220"/>
    </row>
    <row r="1329" spans="3:17" ht="19.899999999999999" customHeight="1">
      <c r="C1329" s="220"/>
    </row>
    <row r="1330" spans="3:17" ht="19.899999999999999" customHeight="1">
      <c r="C1330" s="220"/>
    </row>
    <row r="1331" spans="3:17" ht="19.899999999999999" customHeight="1">
      <c r="C1331" s="220"/>
    </row>
    <row r="1332" spans="3:17" ht="19.899999999999999" customHeight="1">
      <c r="C1332" s="220"/>
      <c r="Q1332" s="137"/>
    </row>
    <row r="1333" spans="3:17" ht="19.899999999999999" customHeight="1">
      <c r="C1333" s="220"/>
    </row>
    <row r="1334" spans="3:17" ht="19.899999999999999" customHeight="1">
      <c r="C1334" s="220"/>
    </row>
    <row r="1335" spans="3:17" ht="19.899999999999999" customHeight="1">
      <c r="C1335" s="220"/>
    </row>
    <row r="1336" spans="3:17" ht="19.899999999999999" customHeight="1">
      <c r="C1336" s="220"/>
    </row>
    <row r="1337" spans="3:17" ht="19.899999999999999" customHeight="1">
      <c r="C1337" s="220"/>
    </row>
    <row r="1338" spans="3:17" ht="19.899999999999999" customHeight="1">
      <c r="C1338" s="220"/>
    </row>
    <row r="1339" spans="3:17" ht="19.899999999999999" customHeight="1">
      <c r="C1339" s="220"/>
    </row>
    <row r="1340" spans="3:17" ht="19.899999999999999" customHeight="1">
      <c r="C1340" s="220"/>
    </row>
    <row r="1341" spans="3:17" ht="19.899999999999999" customHeight="1">
      <c r="C1341" s="220"/>
    </row>
    <row r="1342" spans="3:17" ht="19.899999999999999" customHeight="1">
      <c r="C1342" s="220"/>
    </row>
    <row r="1343" spans="3:17" ht="19.899999999999999" customHeight="1">
      <c r="C1343" s="220"/>
    </row>
    <row r="1344" spans="3:17" ht="19.899999999999999" customHeight="1">
      <c r="C1344" s="220"/>
    </row>
    <row r="1345" spans="3:3" ht="19.899999999999999" customHeight="1">
      <c r="C1345" s="220"/>
    </row>
    <row r="1346" spans="3:3" ht="19.899999999999999" customHeight="1">
      <c r="C1346" s="220"/>
    </row>
    <row r="1347" spans="3:3" ht="19.899999999999999" customHeight="1">
      <c r="C1347" s="220"/>
    </row>
    <row r="1348" spans="3:3" ht="19.899999999999999" customHeight="1">
      <c r="C1348" s="220"/>
    </row>
    <row r="1349" spans="3:3" ht="19.899999999999999" customHeight="1">
      <c r="C1349" s="220"/>
    </row>
    <row r="1350" spans="3:3" ht="19.899999999999999" customHeight="1">
      <c r="C1350" s="220"/>
    </row>
    <row r="1351" spans="3:3" ht="19.899999999999999" customHeight="1">
      <c r="C1351" s="220"/>
    </row>
    <row r="1352" spans="3:3" ht="19.899999999999999" customHeight="1">
      <c r="C1352" s="220"/>
    </row>
    <row r="1353" spans="3:3" ht="19.899999999999999" customHeight="1">
      <c r="C1353" s="220"/>
    </row>
    <row r="1354" spans="3:3" ht="19.899999999999999" customHeight="1">
      <c r="C1354" s="220"/>
    </row>
    <row r="1355" spans="3:3" ht="19.899999999999999" customHeight="1">
      <c r="C1355" s="220"/>
    </row>
    <row r="1356" spans="3:3" ht="19.899999999999999" customHeight="1">
      <c r="C1356" s="220"/>
    </row>
    <row r="1357" spans="3:3" ht="19.899999999999999" customHeight="1">
      <c r="C1357" s="220"/>
    </row>
    <row r="1358" spans="3:3" ht="19.899999999999999" customHeight="1">
      <c r="C1358" s="220"/>
    </row>
    <row r="1359" spans="3:3" ht="19.899999999999999" customHeight="1">
      <c r="C1359" s="220"/>
    </row>
    <row r="1360" spans="3:3" ht="19.899999999999999" customHeight="1">
      <c r="C1360" s="220"/>
    </row>
    <row r="1361" spans="3:17" ht="19.899999999999999" customHeight="1">
      <c r="C1361" s="220"/>
    </row>
    <row r="1362" spans="3:17" ht="19.899999999999999" customHeight="1">
      <c r="C1362" s="220"/>
    </row>
    <row r="1363" spans="3:17" ht="19.899999999999999" customHeight="1">
      <c r="C1363" s="220"/>
    </row>
    <row r="1364" spans="3:17" ht="19.899999999999999" customHeight="1">
      <c r="C1364" s="220"/>
    </row>
    <row r="1365" spans="3:17" ht="19.899999999999999" customHeight="1">
      <c r="C1365" s="220"/>
    </row>
    <row r="1366" spans="3:17" ht="19.899999999999999" customHeight="1">
      <c r="C1366" s="220"/>
    </row>
    <row r="1367" spans="3:17" ht="19.899999999999999" customHeight="1">
      <c r="C1367" s="220"/>
    </row>
    <row r="1368" spans="3:17" ht="19.899999999999999" customHeight="1">
      <c r="C1368" s="220"/>
    </row>
    <row r="1369" spans="3:17" ht="19.899999999999999" customHeight="1">
      <c r="C1369" s="220"/>
    </row>
    <row r="1370" spans="3:17" ht="19.899999999999999" customHeight="1">
      <c r="C1370" s="220"/>
    </row>
    <row r="1371" spans="3:17" ht="19.899999999999999" customHeight="1">
      <c r="C1371" s="220"/>
      <c r="Q1371" s="137"/>
    </row>
    <row r="1372" spans="3:17" ht="19.899999999999999" customHeight="1">
      <c r="C1372" s="220"/>
    </row>
    <row r="1373" spans="3:17" ht="19.899999999999999" customHeight="1">
      <c r="C1373" s="220"/>
    </row>
    <row r="1374" spans="3:17" ht="19.899999999999999" customHeight="1">
      <c r="C1374" s="220"/>
    </row>
    <row r="1375" spans="3:17" ht="19.899999999999999" customHeight="1">
      <c r="C1375" s="220"/>
    </row>
    <row r="1376" spans="3:17" ht="19.899999999999999" customHeight="1">
      <c r="C1376" s="220"/>
    </row>
    <row r="1377" spans="3:17" ht="19.899999999999999" customHeight="1">
      <c r="C1377" s="220"/>
    </row>
    <row r="1378" spans="3:17" ht="19.899999999999999" customHeight="1">
      <c r="C1378" s="220"/>
    </row>
    <row r="1379" spans="3:17" ht="19.899999999999999" customHeight="1">
      <c r="C1379" s="220"/>
    </row>
    <row r="1380" spans="3:17" ht="19.899999999999999" customHeight="1">
      <c r="C1380" s="220"/>
    </row>
    <row r="1381" spans="3:17" ht="19.899999999999999" customHeight="1">
      <c r="C1381" s="220"/>
    </row>
    <row r="1382" spans="3:17" ht="19.899999999999999" customHeight="1">
      <c r="C1382" s="220"/>
    </row>
    <row r="1383" spans="3:17" ht="19.899999999999999" customHeight="1">
      <c r="C1383" s="220"/>
    </row>
    <row r="1384" spans="3:17" ht="19.899999999999999" customHeight="1">
      <c r="C1384" s="220"/>
    </row>
    <row r="1385" spans="3:17" ht="19.899999999999999" customHeight="1">
      <c r="C1385" s="220"/>
    </row>
    <row r="1386" spans="3:17" ht="19.899999999999999" customHeight="1">
      <c r="C1386" s="220"/>
    </row>
    <row r="1387" spans="3:17" ht="19.899999999999999" customHeight="1">
      <c r="C1387" s="220"/>
    </row>
    <row r="1388" spans="3:17" ht="19.899999999999999" customHeight="1">
      <c r="C1388" s="220"/>
    </row>
    <row r="1389" spans="3:17" ht="19.899999999999999" customHeight="1">
      <c r="C1389" s="220"/>
      <c r="Q1389" s="137"/>
    </row>
    <row r="1390" spans="3:17" ht="19.899999999999999" customHeight="1">
      <c r="C1390" s="220"/>
    </row>
    <row r="1391" spans="3:17" ht="19.899999999999999" customHeight="1">
      <c r="C1391" s="220"/>
    </row>
    <row r="1392" spans="3:17" ht="19.899999999999999" customHeight="1">
      <c r="C1392" s="220"/>
    </row>
    <row r="1393" spans="3:17" ht="19.899999999999999" customHeight="1">
      <c r="C1393" s="220"/>
    </row>
    <row r="1394" spans="3:17" ht="19.899999999999999" customHeight="1">
      <c r="C1394" s="220"/>
    </row>
    <row r="1395" spans="3:17" ht="19.899999999999999" customHeight="1">
      <c r="C1395" s="220"/>
    </row>
    <row r="1396" spans="3:17" ht="19.899999999999999" customHeight="1">
      <c r="C1396" s="220"/>
    </row>
    <row r="1397" spans="3:17" ht="19.899999999999999" customHeight="1">
      <c r="C1397" s="220"/>
    </row>
    <row r="1398" spans="3:17" ht="19.899999999999999" customHeight="1">
      <c r="C1398" s="220"/>
    </row>
    <row r="1399" spans="3:17" ht="19.899999999999999" customHeight="1">
      <c r="C1399" s="220"/>
    </row>
    <row r="1400" spans="3:17" ht="19.899999999999999" customHeight="1">
      <c r="C1400" s="220"/>
    </row>
    <row r="1401" spans="3:17" ht="19.899999999999999" customHeight="1">
      <c r="C1401" s="220"/>
    </row>
    <row r="1402" spans="3:17" ht="19.899999999999999" customHeight="1">
      <c r="C1402" s="220"/>
    </row>
    <row r="1403" spans="3:17" ht="19.899999999999999" customHeight="1">
      <c r="C1403" s="220"/>
    </row>
    <row r="1404" spans="3:17" ht="19.899999999999999" customHeight="1">
      <c r="C1404" s="220"/>
    </row>
    <row r="1405" spans="3:17" ht="19.899999999999999" customHeight="1">
      <c r="C1405" s="220"/>
      <c r="Q1405" s="137"/>
    </row>
    <row r="1406" spans="3:17" ht="19.899999999999999" customHeight="1">
      <c r="C1406" s="220"/>
    </row>
    <row r="1407" spans="3:17" ht="19.899999999999999" customHeight="1">
      <c r="C1407" s="220"/>
    </row>
    <row r="1408" spans="3:17" ht="19.899999999999999" customHeight="1">
      <c r="C1408" s="220"/>
    </row>
    <row r="1409" spans="3:3" ht="19.899999999999999" customHeight="1">
      <c r="C1409" s="220"/>
    </row>
    <row r="1410" spans="3:3" ht="19.899999999999999" customHeight="1">
      <c r="C1410" s="220"/>
    </row>
    <row r="1411" spans="3:3" ht="19.899999999999999" customHeight="1">
      <c r="C1411" s="220"/>
    </row>
    <row r="1412" spans="3:3" ht="19.899999999999999" customHeight="1">
      <c r="C1412" s="220"/>
    </row>
    <row r="1413" spans="3:3" ht="19.899999999999999" customHeight="1">
      <c r="C1413" s="220"/>
    </row>
    <row r="1414" spans="3:3" ht="19.899999999999999" customHeight="1">
      <c r="C1414" s="220"/>
    </row>
    <row r="1415" spans="3:3" ht="19.899999999999999" customHeight="1">
      <c r="C1415" s="220"/>
    </row>
    <row r="1416" spans="3:3" ht="19.899999999999999" customHeight="1">
      <c r="C1416" s="220"/>
    </row>
    <row r="1417" spans="3:3" ht="19.899999999999999" customHeight="1">
      <c r="C1417" s="220"/>
    </row>
    <row r="1418" spans="3:3" ht="19.899999999999999" customHeight="1">
      <c r="C1418" s="220"/>
    </row>
    <row r="1419" spans="3:3" ht="19.899999999999999" customHeight="1">
      <c r="C1419" s="220"/>
    </row>
    <row r="1420" spans="3:3" ht="19.899999999999999" customHeight="1">
      <c r="C1420" s="220"/>
    </row>
    <row r="1421" spans="3:3" ht="19.899999999999999" customHeight="1">
      <c r="C1421" s="220"/>
    </row>
    <row r="1422" spans="3:3" ht="19.899999999999999" customHeight="1">
      <c r="C1422" s="220"/>
    </row>
    <row r="1423" spans="3:3" ht="19.899999999999999" customHeight="1">
      <c r="C1423" s="220"/>
    </row>
    <row r="1424" spans="3:3" ht="19.899999999999999" customHeight="1">
      <c r="C1424" s="220"/>
    </row>
    <row r="1425" spans="3:3" ht="19.899999999999999" customHeight="1">
      <c r="C1425" s="220"/>
    </row>
    <row r="1426" spans="3:3" ht="19.899999999999999" customHeight="1">
      <c r="C1426" s="220"/>
    </row>
    <row r="1427" spans="3:3" ht="19.899999999999999" customHeight="1">
      <c r="C1427" s="220"/>
    </row>
    <row r="1428" spans="3:3" ht="19.899999999999999" customHeight="1">
      <c r="C1428" s="220"/>
    </row>
    <row r="1429" spans="3:3" ht="19.899999999999999" customHeight="1">
      <c r="C1429" s="220"/>
    </row>
    <row r="1430" spans="3:3" ht="19.899999999999999" customHeight="1">
      <c r="C1430" s="220"/>
    </row>
    <row r="1431" spans="3:3" ht="19.899999999999999" customHeight="1">
      <c r="C1431" s="220"/>
    </row>
    <row r="1432" spans="3:3" ht="19.899999999999999" customHeight="1">
      <c r="C1432" s="220"/>
    </row>
    <row r="1433" spans="3:3" ht="19.899999999999999" customHeight="1">
      <c r="C1433" s="220"/>
    </row>
    <row r="1434" spans="3:3" ht="19.899999999999999" customHeight="1">
      <c r="C1434" s="220"/>
    </row>
    <row r="1435" spans="3:3" ht="19.899999999999999" customHeight="1">
      <c r="C1435" s="220"/>
    </row>
    <row r="1436" spans="3:3" ht="19.899999999999999" customHeight="1">
      <c r="C1436" s="220"/>
    </row>
    <row r="1437" spans="3:3" ht="19.899999999999999" customHeight="1">
      <c r="C1437" s="220"/>
    </row>
    <row r="1438" spans="3:3" ht="19.899999999999999" customHeight="1">
      <c r="C1438" s="220"/>
    </row>
    <row r="1439" spans="3:3" ht="19.899999999999999" customHeight="1">
      <c r="C1439" s="220"/>
    </row>
    <row r="1440" spans="3:3" ht="19.899999999999999" customHeight="1">
      <c r="C1440" s="220"/>
    </row>
    <row r="1441" spans="3:3" ht="19.899999999999999" customHeight="1">
      <c r="C1441" s="220"/>
    </row>
    <row r="1442" spans="3:3" ht="19.899999999999999" customHeight="1">
      <c r="C1442" s="220"/>
    </row>
    <row r="1443" spans="3:3" ht="19.899999999999999" customHeight="1">
      <c r="C1443" s="220"/>
    </row>
    <row r="1444" spans="3:3" ht="19.899999999999999" customHeight="1">
      <c r="C1444" s="220"/>
    </row>
    <row r="1445" spans="3:3" ht="19.899999999999999" customHeight="1">
      <c r="C1445" s="220"/>
    </row>
    <row r="1446" spans="3:3" ht="19.899999999999999" customHeight="1">
      <c r="C1446" s="220"/>
    </row>
    <row r="1447" spans="3:3" ht="19.899999999999999" customHeight="1">
      <c r="C1447" s="220"/>
    </row>
    <row r="1448" spans="3:3" ht="19.899999999999999" customHeight="1">
      <c r="C1448" s="220"/>
    </row>
    <row r="1449" spans="3:3" ht="19.899999999999999" customHeight="1">
      <c r="C1449" s="220"/>
    </row>
    <row r="1450" spans="3:3" ht="19.899999999999999" customHeight="1">
      <c r="C1450" s="220"/>
    </row>
    <row r="1451" spans="3:3" ht="19.899999999999999" customHeight="1">
      <c r="C1451" s="220"/>
    </row>
    <row r="1452" spans="3:3" ht="19.899999999999999" customHeight="1">
      <c r="C1452" s="220"/>
    </row>
    <row r="1453" spans="3:3" ht="19.899999999999999" customHeight="1">
      <c r="C1453" s="220"/>
    </row>
    <row r="1454" spans="3:3" ht="19.899999999999999" customHeight="1">
      <c r="C1454" s="220"/>
    </row>
    <row r="1455" spans="3:3" ht="19.899999999999999" customHeight="1">
      <c r="C1455" s="220"/>
    </row>
    <row r="1456" spans="3:3" ht="19.899999999999999" customHeight="1">
      <c r="C1456" s="220"/>
    </row>
    <row r="1457" spans="3:3" ht="19.899999999999999" customHeight="1">
      <c r="C1457" s="220"/>
    </row>
    <row r="1458" spans="3:3" ht="19.899999999999999" customHeight="1">
      <c r="C1458" s="220"/>
    </row>
    <row r="1459" spans="3:3" ht="19.899999999999999" customHeight="1">
      <c r="C1459" s="220"/>
    </row>
    <row r="1460" spans="3:3" ht="19.899999999999999" customHeight="1">
      <c r="C1460" s="220"/>
    </row>
    <row r="1461" spans="3:3" ht="19.899999999999999" customHeight="1">
      <c r="C1461" s="220"/>
    </row>
    <row r="1462" spans="3:3" ht="19.899999999999999" customHeight="1">
      <c r="C1462" s="220"/>
    </row>
    <row r="1463" spans="3:3" ht="19.899999999999999" customHeight="1">
      <c r="C1463" s="220"/>
    </row>
    <row r="1464" spans="3:3" ht="19.899999999999999" customHeight="1">
      <c r="C1464" s="220"/>
    </row>
    <row r="1465" spans="3:3" ht="19.899999999999999" customHeight="1">
      <c r="C1465" s="220"/>
    </row>
    <row r="1466" spans="3:3" ht="19.899999999999999" customHeight="1">
      <c r="C1466" s="220"/>
    </row>
    <row r="1467" spans="3:3" ht="19.899999999999999" customHeight="1">
      <c r="C1467" s="220"/>
    </row>
    <row r="1468" spans="3:3" ht="19.899999999999999" customHeight="1">
      <c r="C1468" s="220"/>
    </row>
    <row r="1469" spans="3:3" ht="19.899999999999999" customHeight="1">
      <c r="C1469" s="220"/>
    </row>
    <row r="1470" spans="3:3" ht="19.899999999999999" customHeight="1">
      <c r="C1470" s="220"/>
    </row>
    <row r="1471" spans="3:3" ht="19.899999999999999" customHeight="1">
      <c r="C1471" s="220"/>
    </row>
    <row r="1472" spans="3:3" ht="19.899999999999999" customHeight="1">
      <c r="C1472" s="220"/>
    </row>
    <row r="1473" spans="3:17" ht="19.899999999999999" customHeight="1">
      <c r="C1473" s="220"/>
    </row>
    <row r="1474" spans="3:17" ht="19.899999999999999" customHeight="1">
      <c r="C1474" s="220"/>
    </row>
    <row r="1475" spans="3:17" ht="19.899999999999999" customHeight="1">
      <c r="C1475" s="220"/>
    </row>
    <row r="1476" spans="3:17" ht="19.899999999999999" customHeight="1">
      <c r="C1476" s="220"/>
    </row>
    <row r="1477" spans="3:17" ht="19.899999999999999" customHeight="1">
      <c r="C1477" s="220"/>
    </row>
    <row r="1478" spans="3:17" ht="19.899999999999999" customHeight="1">
      <c r="C1478" s="220"/>
    </row>
    <row r="1479" spans="3:17" ht="19.899999999999999" customHeight="1">
      <c r="C1479" s="220"/>
    </row>
    <row r="1480" spans="3:17" ht="19.899999999999999" customHeight="1">
      <c r="C1480" s="220"/>
    </row>
    <row r="1481" spans="3:17" ht="19.899999999999999" customHeight="1">
      <c r="C1481" s="220"/>
      <c r="Q1481" s="137"/>
    </row>
    <row r="1482" spans="3:17" ht="19.899999999999999" customHeight="1">
      <c r="C1482" s="220"/>
    </row>
    <row r="1483" spans="3:17" ht="19.899999999999999" customHeight="1">
      <c r="C1483" s="220"/>
    </row>
    <row r="1484" spans="3:17" ht="19.899999999999999" customHeight="1">
      <c r="C1484" s="220"/>
    </row>
    <row r="1485" spans="3:17" ht="19.899999999999999" customHeight="1">
      <c r="C1485" s="220"/>
    </row>
    <row r="1486" spans="3:17" ht="19.899999999999999" customHeight="1">
      <c r="C1486" s="220"/>
    </row>
    <row r="1487" spans="3:17" ht="19.899999999999999" customHeight="1">
      <c r="C1487" s="220"/>
    </row>
    <row r="1488" spans="3:17" ht="19.899999999999999" customHeight="1">
      <c r="C1488" s="220"/>
    </row>
    <row r="1489" spans="3:17" ht="19.899999999999999" customHeight="1">
      <c r="C1489" s="220"/>
    </row>
    <row r="1490" spans="3:17" ht="19.899999999999999" customHeight="1">
      <c r="C1490" s="220"/>
    </row>
    <row r="1491" spans="3:17" ht="19.899999999999999" customHeight="1">
      <c r="C1491" s="220"/>
    </row>
    <row r="1492" spans="3:17" ht="19.899999999999999" customHeight="1">
      <c r="C1492" s="220"/>
    </row>
    <row r="1493" spans="3:17" ht="19.899999999999999" customHeight="1">
      <c r="C1493" s="220"/>
    </row>
    <row r="1494" spans="3:17" ht="19.899999999999999" customHeight="1">
      <c r="C1494" s="220"/>
    </row>
    <row r="1495" spans="3:17" ht="19.899999999999999" customHeight="1">
      <c r="C1495" s="220"/>
      <c r="Q1495" s="137"/>
    </row>
    <row r="1496" spans="3:17" ht="19.899999999999999" customHeight="1">
      <c r="C1496" s="220"/>
    </row>
    <row r="1497" spans="3:17" ht="19.899999999999999" customHeight="1">
      <c r="C1497" s="220"/>
    </row>
    <row r="1498" spans="3:17" ht="19.899999999999999" customHeight="1">
      <c r="C1498" s="220"/>
    </row>
    <row r="1499" spans="3:17" ht="19.899999999999999" customHeight="1">
      <c r="C1499" s="220"/>
    </row>
    <row r="1500" spans="3:17" ht="19.899999999999999" customHeight="1">
      <c r="C1500" s="220"/>
    </row>
    <row r="1501" spans="3:17" ht="19.899999999999999" customHeight="1">
      <c r="C1501" s="220"/>
    </row>
    <row r="1502" spans="3:17" ht="19.899999999999999" customHeight="1">
      <c r="C1502" s="220"/>
    </row>
    <row r="1503" spans="3:17" ht="19.899999999999999" customHeight="1">
      <c r="C1503" s="220"/>
    </row>
    <row r="1504" spans="3:17" ht="19.899999999999999" customHeight="1">
      <c r="C1504" s="220"/>
    </row>
    <row r="1505" spans="3:3" ht="19.899999999999999" customHeight="1">
      <c r="C1505" s="220"/>
    </row>
    <row r="1506" spans="3:3" ht="19.899999999999999" customHeight="1">
      <c r="C1506" s="220"/>
    </row>
    <row r="1507" spans="3:3" ht="19.899999999999999" customHeight="1">
      <c r="C1507" s="220"/>
    </row>
    <row r="1508" spans="3:3" ht="19.899999999999999" customHeight="1">
      <c r="C1508" s="220"/>
    </row>
    <row r="1509" spans="3:3" ht="19.899999999999999" customHeight="1">
      <c r="C1509" s="220"/>
    </row>
    <row r="1510" spans="3:3" ht="19.899999999999999" customHeight="1">
      <c r="C1510" s="220"/>
    </row>
    <row r="1511" spans="3:3" ht="19.899999999999999" customHeight="1">
      <c r="C1511" s="220"/>
    </row>
    <row r="1512" spans="3:3" ht="19.899999999999999" customHeight="1">
      <c r="C1512" s="220"/>
    </row>
    <row r="1513" spans="3:3" ht="19.899999999999999" customHeight="1">
      <c r="C1513" s="220"/>
    </row>
    <row r="1514" spans="3:3" ht="19.899999999999999" customHeight="1">
      <c r="C1514" s="220"/>
    </row>
    <row r="1515" spans="3:3" ht="19.899999999999999" customHeight="1">
      <c r="C1515" s="220"/>
    </row>
    <row r="1516" spans="3:3" ht="19.899999999999999" customHeight="1">
      <c r="C1516" s="220"/>
    </row>
    <row r="1517" spans="3:3" ht="19.899999999999999" customHeight="1">
      <c r="C1517" s="220"/>
    </row>
    <row r="1518" spans="3:3" ht="19.899999999999999" customHeight="1">
      <c r="C1518" s="220"/>
    </row>
    <row r="1519" spans="3:3" ht="19.899999999999999" customHeight="1">
      <c r="C1519" s="220"/>
    </row>
    <row r="1520" spans="3:3" ht="19.899999999999999" customHeight="1">
      <c r="C1520" s="220"/>
    </row>
    <row r="1521" spans="3:17" ht="19.899999999999999" customHeight="1">
      <c r="C1521" s="220"/>
    </row>
    <row r="1522" spans="3:17" ht="19.899999999999999" customHeight="1">
      <c r="C1522" s="220"/>
    </row>
    <row r="1523" spans="3:17" ht="19.899999999999999" customHeight="1">
      <c r="C1523" s="220"/>
    </row>
    <row r="1524" spans="3:17" ht="19.899999999999999" customHeight="1">
      <c r="C1524" s="220"/>
    </row>
    <row r="1525" spans="3:17" ht="19.899999999999999" customHeight="1">
      <c r="C1525" s="220"/>
    </row>
    <row r="1526" spans="3:17" ht="19.899999999999999" customHeight="1">
      <c r="C1526" s="220"/>
    </row>
    <row r="1527" spans="3:17" ht="19.899999999999999" customHeight="1">
      <c r="C1527" s="220"/>
    </row>
    <row r="1528" spans="3:17" ht="19.899999999999999" customHeight="1">
      <c r="C1528" s="220"/>
    </row>
    <row r="1529" spans="3:17" ht="19.899999999999999" customHeight="1">
      <c r="C1529" s="220"/>
    </row>
    <row r="1530" spans="3:17" ht="19.899999999999999" customHeight="1">
      <c r="C1530" s="220"/>
    </row>
    <row r="1531" spans="3:17" ht="19.899999999999999" customHeight="1">
      <c r="C1531" s="220"/>
    </row>
    <row r="1532" spans="3:17" ht="19.899999999999999" customHeight="1">
      <c r="C1532" s="220"/>
      <c r="Q1532" s="137"/>
    </row>
    <row r="1533" spans="3:17" ht="19.899999999999999" customHeight="1">
      <c r="C1533" s="220"/>
    </row>
    <row r="1534" spans="3:17" ht="19.899999999999999" customHeight="1">
      <c r="C1534" s="220"/>
    </row>
    <row r="1535" spans="3:17" ht="19.899999999999999" customHeight="1">
      <c r="C1535" s="220"/>
    </row>
    <row r="1536" spans="3:17" ht="19.899999999999999" customHeight="1">
      <c r="C1536" s="220"/>
      <c r="Q1536" s="137"/>
    </row>
    <row r="1537" spans="3:3" ht="19.899999999999999" customHeight="1">
      <c r="C1537" s="220"/>
    </row>
    <row r="1538" spans="3:3" ht="19.899999999999999" customHeight="1">
      <c r="C1538" s="220"/>
    </row>
    <row r="1539" spans="3:3" ht="19.899999999999999" customHeight="1">
      <c r="C1539" s="220"/>
    </row>
    <row r="1540" spans="3:3" ht="19.899999999999999" customHeight="1">
      <c r="C1540" s="220"/>
    </row>
    <row r="1541" spans="3:3" ht="19.899999999999999" customHeight="1">
      <c r="C1541" s="220"/>
    </row>
    <row r="1542" spans="3:3" ht="19.899999999999999" customHeight="1">
      <c r="C1542" s="220"/>
    </row>
    <row r="1543" spans="3:3" ht="19.899999999999999" customHeight="1">
      <c r="C1543" s="220"/>
    </row>
    <row r="1544" spans="3:3" ht="19.899999999999999" customHeight="1">
      <c r="C1544" s="220"/>
    </row>
    <row r="1545" spans="3:3" ht="19.899999999999999" customHeight="1">
      <c r="C1545" s="220"/>
    </row>
    <row r="1546" spans="3:3" ht="19.899999999999999" customHeight="1">
      <c r="C1546" s="220"/>
    </row>
    <row r="1547" spans="3:3" ht="19.899999999999999" customHeight="1">
      <c r="C1547" s="220"/>
    </row>
    <row r="1548" spans="3:3" ht="19.899999999999999" customHeight="1">
      <c r="C1548" s="220"/>
    </row>
    <row r="1549" spans="3:3" ht="19.899999999999999" customHeight="1">
      <c r="C1549" s="220"/>
    </row>
    <row r="1550" spans="3:3" ht="19.899999999999999" customHeight="1">
      <c r="C1550" s="220"/>
    </row>
    <row r="1551" spans="3:3" ht="19.899999999999999" customHeight="1">
      <c r="C1551" s="220"/>
    </row>
    <row r="1552" spans="3:3" ht="19.899999999999999" customHeight="1">
      <c r="C1552" s="220"/>
    </row>
    <row r="1553" spans="3:3" ht="19.899999999999999" customHeight="1">
      <c r="C1553" s="220"/>
    </row>
    <row r="1554" spans="3:3" ht="19.899999999999999" customHeight="1">
      <c r="C1554" s="220"/>
    </row>
    <row r="1555" spans="3:3" ht="19.899999999999999" customHeight="1">
      <c r="C1555" s="220"/>
    </row>
    <row r="1556" spans="3:3" ht="19.899999999999999" customHeight="1">
      <c r="C1556" s="220"/>
    </row>
    <row r="1557" spans="3:3" ht="19.899999999999999" customHeight="1">
      <c r="C1557" s="220"/>
    </row>
    <row r="1558" spans="3:3" ht="19.899999999999999" customHeight="1">
      <c r="C1558" s="220"/>
    </row>
    <row r="1559" spans="3:3" ht="19.899999999999999" customHeight="1">
      <c r="C1559" s="220"/>
    </row>
    <row r="1560" spans="3:3" ht="19.899999999999999" customHeight="1">
      <c r="C1560" s="220"/>
    </row>
    <row r="1561" spans="3:3" ht="19.899999999999999" customHeight="1">
      <c r="C1561" s="220"/>
    </row>
    <row r="1562" spans="3:3" ht="19.899999999999999" customHeight="1">
      <c r="C1562" s="220"/>
    </row>
    <row r="1563" spans="3:3" ht="19.899999999999999" customHeight="1">
      <c r="C1563" s="220"/>
    </row>
    <row r="1564" spans="3:3" ht="19.899999999999999" customHeight="1">
      <c r="C1564" s="220"/>
    </row>
    <row r="1565" spans="3:3" ht="19.899999999999999" customHeight="1">
      <c r="C1565" s="220"/>
    </row>
    <row r="1566" spans="3:3" ht="19.899999999999999" customHeight="1">
      <c r="C1566" s="220"/>
    </row>
    <row r="1567" spans="3:3" ht="19.899999999999999" customHeight="1">
      <c r="C1567" s="220"/>
    </row>
    <row r="1568" spans="3:3" ht="19.899999999999999" customHeight="1">
      <c r="C1568" s="220"/>
    </row>
    <row r="1569" spans="3:3" ht="19.899999999999999" customHeight="1">
      <c r="C1569" s="220"/>
    </row>
    <row r="1570" spans="3:3" ht="19.899999999999999" customHeight="1">
      <c r="C1570" s="220"/>
    </row>
    <row r="1571" spans="3:3" ht="19.899999999999999" customHeight="1">
      <c r="C1571" s="220"/>
    </row>
    <row r="1572" spans="3:3" ht="19.899999999999999" customHeight="1">
      <c r="C1572" s="220"/>
    </row>
    <row r="1573" spans="3:3" ht="19.899999999999999" customHeight="1">
      <c r="C1573" s="220"/>
    </row>
    <row r="1574" spans="3:3" ht="19.899999999999999" customHeight="1">
      <c r="C1574" s="220"/>
    </row>
    <row r="1575" spans="3:3" ht="19.899999999999999" customHeight="1">
      <c r="C1575" s="220"/>
    </row>
    <row r="1576" spans="3:3" ht="19.899999999999999" customHeight="1">
      <c r="C1576" s="220"/>
    </row>
    <row r="1577" spans="3:3" ht="19.899999999999999" customHeight="1">
      <c r="C1577" s="220"/>
    </row>
    <row r="1578" spans="3:3" ht="19.899999999999999" customHeight="1">
      <c r="C1578" s="220"/>
    </row>
    <row r="1579" spans="3:3" ht="19.899999999999999" customHeight="1">
      <c r="C1579" s="220"/>
    </row>
    <row r="1580" spans="3:3" ht="19.899999999999999" customHeight="1">
      <c r="C1580" s="220"/>
    </row>
    <row r="1581" spans="3:3" ht="19.899999999999999" customHeight="1">
      <c r="C1581" s="220"/>
    </row>
    <row r="1582" spans="3:3" ht="19.899999999999999" customHeight="1">
      <c r="C1582" s="220"/>
    </row>
    <row r="1583" spans="3:3" ht="19.899999999999999" customHeight="1">
      <c r="C1583" s="220"/>
    </row>
    <row r="1584" spans="3:3" ht="19.899999999999999" customHeight="1">
      <c r="C1584" s="220"/>
    </row>
    <row r="1585" spans="3:17" ht="19.899999999999999" customHeight="1">
      <c r="C1585" s="220"/>
    </row>
    <row r="1586" spans="3:17" ht="19.899999999999999" customHeight="1">
      <c r="C1586" s="220"/>
    </row>
    <row r="1587" spans="3:17" ht="19.899999999999999" customHeight="1">
      <c r="C1587" s="220"/>
    </row>
    <row r="1588" spans="3:17" ht="19.899999999999999" customHeight="1">
      <c r="C1588" s="220"/>
    </row>
    <row r="1589" spans="3:17" ht="19.899999999999999" customHeight="1">
      <c r="C1589" s="220"/>
    </row>
    <row r="1590" spans="3:17" ht="19.899999999999999" customHeight="1">
      <c r="C1590" s="220"/>
      <c r="Q1590" s="137"/>
    </row>
    <row r="1591" spans="3:17" ht="19.899999999999999" customHeight="1">
      <c r="C1591" s="220"/>
    </row>
    <row r="1592" spans="3:17" ht="19.899999999999999" customHeight="1">
      <c r="C1592" s="220"/>
    </row>
    <row r="1593" spans="3:17" ht="19.899999999999999" customHeight="1">
      <c r="C1593" s="220"/>
    </row>
    <row r="1594" spans="3:17" ht="19.899999999999999" customHeight="1">
      <c r="C1594" s="220"/>
    </row>
    <row r="1595" spans="3:17" ht="19.899999999999999" customHeight="1">
      <c r="C1595" s="220"/>
    </row>
    <row r="1596" spans="3:17" ht="19.899999999999999" customHeight="1">
      <c r="C1596" s="220"/>
    </row>
    <row r="1597" spans="3:17" ht="19.899999999999999" customHeight="1">
      <c r="C1597" s="220"/>
    </row>
    <row r="1598" spans="3:17" ht="19.899999999999999" customHeight="1">
      <c r="C1598" s="220"/>
    </row>
    <row r="1599" spans="3:17" ht="19.899999999999999" customHeight="1">
      <c r="C1599" s="220"/>
    </row>
    <row r="1600" spans="3:17" ht="19.899999999999999" customHeight="1">
      <c r="C1600" s="220"/>
    </row>
    <row r="1601" spans="3:3" ht="19.899999999999999" customHeight="1">
      <c r="C1601" s="220"/>
    </row>
    <row r="1602" spans="3:3" ht="19.899999999999999" customHeight="1">
      <c r="C1602" s="220"/>
    </row>
    <row r="1603" spans="3:3" ht="19.899999999999999" customHeight="1">
      <c r="C1603" s="220"/>
    </row>
    <row r="1604" spans="3:3" ht="19.899999999999999" customHeight="1">
      <c r="C1604" s="220"/>
    </row>
    <row r="1605" spans="3:3" ht="19.899999999999999" customHeight="1">
      <c r="C1605" s="220"/>
    </row>
    <row r="1606" spans="3:3" ht="19.899999999999999" customHeight="1">
      <c r="C1606" s="220"/>
    </row>
    <row r="1607" spans="3:3" ht="19.899999999999999" customHeight="1">
      <c r="C1607" s="220"/>
    </row>
    <row r="1608" spans="3:3" ht="19.899999999999999" customHeight="1">
      <c r="C1608" s="220"/>
    </row>
    <row r="1609" spans="3:3" ht="19.899999999999999" customHeight="1">
      <c r="C1609" s="220"/>
    </row>
    <row r="1610" spans="3:3" ht="19.899999999999999" customHeight="1">
      <c r="C1610" s="220"/>
    </row>
    <row r="1611" spans="3:3" ht="19.899999999999999" customHeight="1">
      <c r="C1611" s="220"/>
    </row>
    <row r="1612" spans="3:3" ht="19.899999999999999" customHeight="1">
      <c r="C1612" s="220"/>
    </row>
    <row r="1613" spans="3:3" ht="19.899999999999999" customHeight="1">
      <c r="C1613" s="220"/>
    </row>
    <row r="1614" spans="3:3" ht="19.899999999999999" customHeight="1">
      <c r="C1614" s="220"/>
    </row>
    <row r="1615" spans="3:3" ht="19.899999999999999" customHeight="1">
      <c r="C1615" s="220"/>
    </row>
    <row r="1616" spans="3:3" ht="19.899999999999999" customHeight="1">
      <c r="C1616" s="220"/>
    </row>
    <row r="1617" spans="3:3" ht="19.899999999999999" customHeight="1">
      <c r="C1617" s="220"/>
    </row>
    <row r="1618" spans="3:3" ht="19.899999999999999" customHeight="1">
      <c r="C1618" s="220"/>
    </row>
    <row r="1619" spans="3:3" ht="19.899999999999999" customHeight="1">
      <c r="C1619" s="220"/>
    </row>
    <row r="1620" spans="3:3" ht="19.899999999999999" customHeight="1">
      <c r="C1620" s="220"/>
    </row>
    <row r="1621" spans="3:3" ht="19.899999999999999" customHeight="1">
      <c r="C1621" s="220"/>
    </row>
    <row r="1622" spans="3:3" ht="19.899999999999999" customHeight="1">
      <c r="C1622" s="220"/>
    </row>
    <row r="1623" spans="3:3" ht="19.899999999999999" customHeight="1">
      <c r="C1623" s="220"/>
    </row>
    <row r="1624" spans="3:3" ht="19.899999999999999" customHeight="1">
      <c r="C1624" s="220"/>
    </row>
    <row r="1625" spans="3:3" ht="19.899999999999999" customHeight="1">
      <c r="C1625" s="220"/>
    </row>
    <row r="1626" spans="3:3" ht="19.899999999999999" customHeight="1">
      <c r="C1626" s="220"/>
    </row>
    <row r="1627" spans="3:3" ht="19.899999999999999" customHeight="1">
      <c r="C1627" s="220"/>
    </row>
    <row r="1628" spans="3:3" ht="19.899999999999999" customHeight="1">
      <c r="C1628" s="220"/>
    </row>
    <row r="1629" spans="3:3" ht="19.899999999999999" customHeight="1">
      <c r="C1629" s="220"/>
    </row>
    <row r="1630" spans="3:3" ht="19.899999999999999" customHeight="1">
      <c r="C1630" s="220"/>
    </row>
    <row r="1631" spans="3:3" ht="19.899999999999999" customHeight="1">
      <c r="C1631" s="220"/>
    </row>
    <row r="1632" spans="3:3" ht="19.899999999999999" customHeight="1">
      <c r="C1632" s="220"/>
    </row>
    <row r="1633" spans="3:3" ht="19.899999999999999" customHeight="1">
      <c r="C1633" s="220"/>
    </row>
    <row r="1634" spans="3:3" ht="19.899999999999999" customHeight="1">
      <c r="C1634" s="220"/>
    </row>
    <row r="1635" spans="3:3" ht="19.899999999999999" customHeight="1">
      <c r="C1635" s="220"/>
    </row>
    <row r="1636" spans="3:3" ht="19.899999999999999" customHeight="1">
      <c r="C1636" s="220"/>
    </row>
    <row r="1637" spans="3:3" ht="19.899999999999999" customHeight="1">
      <c r="C1637" s="220"/>
    </row>
    <row r="1638" spans="3:3" ht="19.899999999999999" customHeight="1">
      <c r="C1638" s="220"/>
    </row>
    <row r="1639" spans="3:3" ht="19.899999999999999" customHeight="1">
      <c r="C1639" s="220"/>
    </row>
    <row r="1640" spans="3:3" ht="19.899999999999999" customHeight="1">
      <c r="C1640" s="220"/>
    </row>
    <row r="1641" spans="3:3" ht="19.899999999999999" customHeight="1">
      <c r="C1641" s="220"/>
    </row>
    <row r="1642" spans="3:3" ht="19.899999999999999" customHeight="1">
      <c r="C1642" s="220"/>
    </row>
    <row r="1643" spans="3:3" ht="19.899999999999999" customHeight="1">
      <c r="C1643" s="220"/>
    </row>
    <row r="1644" spans="3:3" ht="19.899999999999999" customHeight="1">
      <c r="C1644" s="220"/>
    </row>
    <row r="1645" spans="3:3" ht="19.899999999999999" customHeight="1">
      <c r="C1645" s="220"/>
    </row>
    <row r="1646" spans="3:3" ht="19.899999999999999" customHeight="1">
      <c r="C1646" s="220"/>
    </row>
    <row r="1647" spans="3:3" ht="19.899999999999999" customHeight="1">
      <c r="C1647" s="220"/>
    </row>
    <row r="1648" spans="3:3" ht="19.899999999999999" customHeight="1">
      <c r="C1648" s="220"/>
    </row>
    <row r="1649" spans="3:3" ht="19.899999999999999" customHeight="1">
      <c r="C1649" s="220"/>
    </row>
    <row r="1650" spans="3:3" ht="19.899999999999999" customHeight="1">
      <c r="C1650" s="220"/>
    </row>
    <row r="1651" spans="3:3" ht="19.899999999999999" customHeight="1">
      <c r="C1651" s="220"/>
    </row>
    <row r="1652" spans="3:3" ht="19.899999999999999" customHeight="1">
      <c r="C1652" s="220"/>
    </row>
    <row r="1653" spans="3:3" ht="19.899999999999999" customHeight="1">
      <c r="C1653" s="220"/>
    </row>
    <row r="1654" spans="3:3" ht="19.899999999999999" customHeight="1">
      <c r="C1654" s="220"/>
    </row>
    <row r="1655" spans="3:3" ht="19.899999999999999" customHeight="1">
      <c r="C1655" s="220"/>
    </row>
    <row r="1656" spans="3:3" ht="19.899999999999999" customHeight="1">
      <c r="C1656" s="220"/>
    </row>
    <row r="1657" spans="3:3" ht="19.899999999999999" customHeight="1">
      <c r="C1657" s="220"/>
    </row>
    <row r="1658" spans="3:3" ht="19.899999999999999" customHeight="1">
      <c r="C1658" s="220"/>
    </row>
    <row r="1659" spans="3:3" ht="19.899999999999999" customHeight="1">
      <c r="C1659" s="220"/>
    </row>
    <row r="1660" spans="3:3" ht="19.899999999999999" customHeight="1">
      <c r="C1660" s="220"/>
    </row>
    <row r="1661" spans="3:3" ht="19.899999999999999" customHeight="1">
      <c r="C1661" s="220"/>
    </row>
    <row r="1662" spans="3:3" ht="19.899999999999999" customHeight="1">
      <c r="C1662" s="220"/>
    </row>
    <row r="1663" spans="3:3" ht="19.899999999999999" customHeight="1">
      <c r="C1663" s="220"/>
    </row>
    <row r="1664" spans="3:3" ht="19.899999999999999" customHeight="1">
      <c r="C1664" s="220"/>
    </row>
    <row r="1665" spans="3:3" ht="19.899999999999999" customHeight="1">
      <c r="C1665" s="220"/>
    </row>
    <row r="1666" spans="3:3" ht="19.899999999999999" customHeight="1">
      <c r="C1666" s="220"/>
    </row>
    <row r="1667" spans="3:3" ht="19.899999999999999" customHeight="1">
      <c r="C1667" s="220"/>
    </row>
    <row r="1668" spans="3:3" ht="19.899999999999999" customHeight="1">
      <c r="C1668" s="220"/>
    </row>
    <row r="1669" spans="3:3" ht="19.899999999999999" customHeight="1">
      <c r="C1669" s="220"/>
    </row>
    <row r="1670" spans="3:3" ht="19.899999999999999" customHeight="1">
      <c r="C1670" s="220"/>
    </row>
    <row r="1671" spans="3:3" ht="19.899999999999999" customHeight="1">
      <c r="C1671" s="220"/>
    </row>
    <row r="1672" spans="3:3" ht="19.899999999999999" customHeight="1">
      <c r="C1672" s="220"/>
    </row>
    <row r="1673" spans="3:3" ht="19.899999999999999" customHeight="1">
      <c r="C1673" s="220"/>
    </row>
    <row r="1674" spans="3:3" ht="19.899999999999999" customHeight="1">
      <c r="C1674" s="220"/>
    </row>
    <row r="1675" spans="3:3" ht="19.899999999999999" customHeight="1">
      <c r="C1675" s="220"/>
    </row>
    <row r="1676" spans="3:3" ht="19.899999999999999" customHeight="1">
      <c r="C1676" s="220"/>
    </row>
    <row r="1677" spans="3:3" ht="19.899999999999999" customHeight="1">
      <c r="C1677" s="220"/>
    </row>
    <row r="1678" spans="3:3" ht="19.899999999999999" customHeight="1">
      <c r="C1678" s="220"/>
    </row>
    <row r="1679" spans="3:3" ht="19.899999999999999" customHeight="1">
      <c r="C1679" s="220"/>
    </row>
    <row r="1680" spans="3:3" ht="19.899999999999999" customHeight="1">
      <c r="C1680" s="220"/>
    </row>
    <row r="1681" spans="3:3" ht="19.899999999999999" customHeight="1">
      <c r="C1681" s="220"/>
    </row>
    <row r="1682" spans="3:3" ht="19.899999999999999" customHeight="1">
      <c r="C1682" s="220"/>
    </row>
    <row r="1683" spans="3:3" ht="19.899999999999999" customHeight="1">
      <c r="C1683" s="220"/>
    </row>
    <row r="1684" spans="3:3" ht="19.899999999999999" customHeight="1">
      <c r="C1684" s="220"/>
    </row>
    <row r="1685" spans="3:3" ht="19.899999999999999" customHeight="1">
      <c r="C1685" s="220"/>
    </row>
    <row r="1686" spans="3:3" ht="19.899999999999999" customHeight="1">
      <c r="C1686" s="220"/>
    </row>
    <row r="1687" spans="3:3" ht="19.899999999999999" customHeight="1">
      <c r="C1687" s="220"/>
    </row>
    <row r="1688" spans="3:3" ht="19.899999999999999" customHeight="1">
      <c r="C1688" s="220"/>
    </row>
    <row r="1689" spans="3:3" ht="19.899999999999999" customHeight="1">
      <c r="C1689" s="220"/>
    </row>
    <row r="1690" spans="3:3" ht="19.899999999999999" customHeight="1">
      <c r="C1690" s="220"/>
    </row>
    <row r="1691" spans="3:3" ht="19.899999999999999" customHeight="1">
      <c r="C1691" s="220"/>
    </row>
    <row r="1692" spans="3:3" ht="19.899999999999999" customHeight="1">
      <c r="C1692" s="220"/>
    </row>
    <row r="1693" spans="3:3" ht="19.899999999999999" customHeight="1">
      <c r="C1693" s="220"/>
    </row>
    <row r="1694" spans="3:3" ht="19.899999999999999" customHeight="1">
      <c r="C1694" s="220"/>
    </row>
    <row r="1695" spans="3:3" ht="19.899999999999999" customHeight="1">
      <c r="C1695" s="220"/>
    </row>
    <row r="1696" spans="3:3" ht="19.899999999999999" customHeight="1">
      <c r="C1696" s="220"/>
    </row>
    <row r="1697" spans="3:3" ht="19.899999999999999" customHeight="1">
      <c r="C1697" s="220"/>
    </row>
    <row r="1698" spans="3:3" ht="19.899999999999999" customHeight="1">
      <c r="C1698" s="220"/>
    </row>
    <row r="1699" spans="3:3" ht="19.899999999999999" customHeight="1">
      <c r="C1699" s="220"/>
    </row>
    <row r="1700" spans="3:3" ht="19.899999999999999" customHeight="1">
      <c r="C1700" s="220"/>
    </row>
    <row r="1701" spans="3:3" ht="19.899999999999999" customHeight="1">
      <c r="C1701" s="220"/>
    </row>
    <row r="1702" spans="3:3" ht="19.899999999999999" customHeight="1">
      <c r="C1702" s="220"/>
    </row>
    <row r="1703" spans="3:3" ht="19.899999999999999" customHeight="1">
      <c r="C1703" s="220"/>
    </row>
    <row r="1704" spans="3:3" ht="19.899999999999999" customHeight="1">
      <c r="C1704" s="220"/>
    </row>
    <row r="1705" spans="3:3" ht="19.899999999999999" customHeight="1">
      <c r="C1705" s="220"/>
    </row>
    <row r="1706" spans="3:3" ht="19.899999999999999" customHeight="1">
      <c r="C1706" s="220"/>
    </row>
    <row r="1707" spans="3:3" ht="19.899999999999999" customHeight="1">
      <c r="C1707" s="220"/>
    </row>
    <row r="1708" spans="3:3" ht="19.899999999999999" customHeight="1">
      <c r="C1708" s="220"/>
    </row>
    <row r="1709" spans="3:3" ht="19.899999999999999" customHeight="1">
      <c r="C1709" s="220"/>
    </row>
    <row r="1710" spans="3:3" ht="19.899999999999999" customHeight="1">
      <c r="C1710" s="220"/>
    </row>
    <row r="1711" spans="3:3" ht="19.899999999999999" customHeight="1">
      <c r="C1711" s="220"/>
    </row>
    <row r="1712" spans="3:3" ht="19.899999999999999" customHeight="1">
      <c r="C1712" s="220"/>
    </row>
    <row r="1713" spans="3:3" ht="19.899999999999999" customHeight="1">
      <c r="C1713" s="220"/>
    </row>
    <row r="1714" spans="3:3" ht="19.899999999999999" customHeight="1">
      <c r="C1714" s="220"/>
    </row>
    <row r="1715" spans="3:3" ht="19.899999999999999" customHeight="1">
      <c r="C1715" s="220"/>
    </row>
    <row r="1716" spans="3:3" ht="19.899999999999999" customHeight="1">
      <c r="C1716" s="220"/>
    </row>
    <row r="1717" spans="3:3" ht="19.899999999999999" customHeight="1">
      <c r="C1717" s="220"/>
    </row>
    <row r="1718" spans="3:3" ht="19.899999999999999" customHeight="1">
      <c r="C1718" s="220"/>
    </row>
    <row r="1719" spans="3:3" ht="19.899999999999999" customHeight="1">
      <c r="C1719" s="220"/>
    </row>
    <row r="1720" spans="3:3" ht="19.899999999999999" customHeight="1">
      <c r="C1720" s="220"/>
    </row>
    <row r="1721" spans="3:3" ht="19.899999999999999" customHeight="1">
      <c r="C1721" s="220"/>
    </row>
    <row r="1722" spans="3:3" ht="19.899999999999999" customHeight="1">
      <c r="C1722" s="220"/>
    </row>
    <row r="1723" spans="3:3" ht="19.899999999999999" customHeight="1">
      <c r="C1723" s="220"/>
    </row>
    <row r="1724" spans="3:3" ht="19.899999999999999" customHeight="1">
      <c r="C1724" s="220"/>
    </row>
    <row r="1725" spans="3:3" ht="19.899999999999999" customHeight="1">
      <c r="C1725" s="220"/>
    </row>
    <row r="1726" spans="3:3" ht="19.899999999999999" customHeight="1">
      <c r="C1726" s="220"/>
    </row>
    <row r="1727" spans="3:3" ht="19.899999999999999" customHeight="1">
      <c r="C1727" s="220"/>
    </row>
    <row r="1728" spans="3:3" ht="19.899999999999999" customHeight="1">
      <c r="C1728" s="220"/>
    </row>
    <row r="1729" spans="3:3" ht="19.899999999999999" customHeight="1">
      <c r="C1729" s="220"/>
    </row>
    <row r="1730" spans="3:3" ht="19.899999999999999" customHeight="1">
      <c r="C1730" s="220"/>
    </row>
    <row r="1731" spans="3:3" ht="19.899999999999999" customHeight="1">
      <c r="C1731" s="220"/>
    </row>
    <row r="1732" spans="3:3" ht="19.899999999999999" customHeight="1">
      <c r="C1732" s="220"/>
    </row>
    <row r="1733" spans="3:3" ht="19.899999999999999" customHeight="1">
      <c r="C1733" s="220"/>
    </row>
    <row r="1734" spans="3:3" ht="19.899999999999999" customHeight="1">
      <c r="C1734" s="220"/>
    </row>
    <row r="1735" spans="3:3" ht="19.899999999999999" customHeight="1">
      <c r="C1735" s="220"/>
    </row>
    <row r="1736" spans="3:3" ht="19.899999999999999" customHeight="1">
      <c r="C1736" s="220"/>
    </row>
    <row r="1737" spans="3:3" ht="19.899999999999999" customHeight="1">
      <c r="C1737" s="220"/>
    </row>
    <row r="1738" spans="3:3" ht="19.899999999999999" customHeight="1">
      <c r="C1738" s="220"/>
    </row>
    <row r="1739" spans="3:3" ht="19.899999999999999" customHeight="1">
      <c r="C1739" s="220"/>
    </row>
    <row r="1740" spans="3:3" ht="19.899999999999999" customHeight="1">
      <c r="C1740" s="220"/>
    </row>
    <row r="1741" spans="3:3" ht="19.899999999999999" customHeight="1">
      <c r="C1741" s="220"/>
    </row>
    <row r="1742" spans="3:3" ht="19.899999999999999" customHeight="1">
      <c r="C1742" s="220"/>
    </row>
    <row r="1743" spans="3:3" ht="19.899999999999999" customHeight="1">
      <c r="C1743" s="220"/>
    </row>
    <row r="1744" spans="3:3" ht="19.899999999999999" customHeight="1">
      <c r="C1744" s="220"/>
    </row>
    <row r="1745" spans="3:3" ht="19.899999999999999" customHeight="1">
      <c r="C1745" s="220"/>
    </row>
    <row r="1746" spans="3:3" ht="19.899999999999999" customHeight="1">
      <c r="C1746" s="220"/>
    </row>
    <row r="1747" spans="3:3" ht="19.899999999999999" customHeight="1">
      <c r="C1747" s="220"/>
    </row>
    <row r="1748" spans="3:3" ht="19.899999999999999" customHeight="1">
      <c r="C1748" s="220"/>
    </row>
    <row r="1749" spans="3:3" ht="19.899999999999999" customHeight="1">
      <c r="C1749" s="220"/>
    </row>
    <row r="1750" spans="3:3" ht="19.899999999999999" customHeight="1">
      <c r="C1750" s="220"/>
    </row>
    <row r="1751" spans="3:3" ht="19.899999999999999" customHeight="1">
      <c r="C1751" s="220"/>
    </row>
    <row r="1752" spans="3:3" ht="19.899999999999999" customHeight="1">
      <c r="C1752" s="220"/>
    </row>
    <row r="1753" spans="3:3" ht="19.899999999999999" customHeight="1">
      <c r="C1753" s="220"/>
    </row>
    <row r="1754" spans="3:3" ht="19.899999999999999" customHeight="1">
      <c r="C1754" s="220"/>
    </row>
    <row r="1755" spans="3:3" ht="19.899999999999999" customHeight="1">
      <c r="C1755" s="220"/>
    </row>
    <row r="1756" spans="3:3" ht="19.899999999999999" customHeight="1">
      <c r="C1756" s="220"/>
    </row>
    <row r="1757" spans="3:3" ht="19.899999999999999" customHeight="1">
      <c r="C1757" s="220"/>
    </row>
    <row r="1758" spans="3:3" ht="19.899999999999999" customHeight="1">
      <c r="C1758" s="220"/>
    </row>
    <row r="1759" spans="3:3" ht="19.899999999999999" customHeight="1">
      <c r="C1759" s="220"/>
    </row>
    <row r="1760" spans="3:3" ht="19.899999999999999" customHeight="1">
      <c r="C1760" s="220"/>
    </row>
    <row r="1761" spans="3:3" ht="19.899999999999999" customHeight="1">
      <c r="C1761" s="220"/>
    </row>
    <row r="1762" spans="3:3" ht="19.899999999999999" customHeight="1">
      <c r="C1762" s="220"/>
    </row>
    <row r="1763" spans="3:3" ht="19.899999999999999" customHeight="1">
      <c r="C1763" s="220"/>
    </row>
    <row r="1764" spans="3:3" ht="19.899999999999999" customHeight="1">
      <c r="C1764" s="220"/>
    </row>
    <row r="1765" spans="3:3" ht="19.899999999999999" customHeight="1">
      <c r="C1765" s="220"/>
    </row>
    <row r="1766" spans="3:3" ht="19.899999999999999" customHeight="1">
      <c r="C1766" s="220"/>
    </row>
    <row r="1767" spans="3:3" ht="19.899999999999999" customHeight="1">
      <c r="C1767" s="220"/>
    </row>
    <row r="1768" spans="3:3" ht="19.899999999999999" customHeight="1">
      <c r="C1768" s="220"/>
    </row>
    <row r="1769" spans="3:3" ht="19.899999999999999" customHeight="1">
      <c r="C1769" s="220"/>
    </row>
    <row r="1770" spans="3:3" ht="19.899999999999999" customHeight="1">
      <c r="C1770" s="220"/>
    </row>
    <row r="1771" spans="3:3" ht="19.899999999999999" customHeight="1">
      <c r="C1771" s="220"/>
    </row>
    <row r="1772" spans="3:3" ht="19.899999999999999" customHeight="1">
      <c r="C1772" s="220"/>
    </row>
    <row r="1773" spans="3:3" ht="19.899999999999999" customHeight="1">
      <c r="C1773" s="220"/>
    </row>
    <row r="1774" spans="3:3" ht="19.899999999999999" customHeight="1">
      <c r="C1774" s="220"/>
    </row>
    <row r="1775" spans="3:3" ht="19.899999999999999" customHeight="1">
      <c r="C1775" s="220"/>
    </row>
    <row r="1776" spans="3:3" ht="19.899999999999999" customHeight="1">
      <c r="C1776" s="220"/>
    </row>
    <row r="1777" spans="3:3" ht="19.899999999999999" customHeight="1">
      <c r="C1777" s="220"/>
    </row>
    <row r="1778" spans="3:3" ht="19.899999999999999" customHeight="1">
      <c r="C1778" s="220"/>
    </row>
    <row r="1779" spans="3:3" ht="19.899999999999999" customHeight="1">
      <c r="C1779" s="220"/>
    </row>
    <row r="1780" spans="3:3" ht="19.899999999999999" customHeight="1">
      <c r="C1780" s="220"/>
    </row>
    <row r="1781" spans="3:3" ht="19.899999999999999" customHeight="1">
      <c r="C1781" s="220"/>
    </row>
    <row r="1782" spans="3:3" ht="19.899999999999999" customHeight="1">
      <c r="C1782" s="220"/>
    </row>
    <row r="1783" spans="3:3" ht="19.899999999999999" customHeight="1">
      <c r="C1783" s="220"/>
    </row>
    <row r="1784" spans="3:3" ht="19.899999999999999" customHeight="1">
      <c r="C1784" s="220"/>
    </row>
    <row r="1785" spans="3:3" ht="19.899999999999999" customHeight="1">
      <c r="C1785" s="220"/>
    </row>
    <row r="1786" spans="3:3" ht="19.899999999999999" customHeight="1">
      <c r="C1786" s="220"/>
    </row>
    <row r="1787" spans="3:3" ht="19.899999999999999" customHeight="1">
      <c r="C1787" s="220"/>
    </row>
    <row r="1788" spans="3:3" ht="19.899999999999999" customHeight="1">
      <c r="C1788" s="220"/>
    </row>
    <row r="1789" spans="3:3" ht="19.899999999999999" customHeight="1">
      <c r="C1789" s="220"/>
    </row>
    <row r="1790" spans="3:3" ht="19.899999999999999" customHeight="1">
      <c r="C1790" s="220"/>
    </row>
    <row r="1791" spans="3:3" ht="19.899999999999999" customHeight="1">
      <c r="C1791" s="220"/>
    </row>
    <row r="1792" spans="3:3" ht="19.899999999999999" customHeight="1">
      <c r="C1792" s="220"/>
    </row>
    <row r="1793" spans="3:3" ht="19.899999999999999" customHeight="1">
      <c r="C1793" s="220"/>
    </row>
    <row r="1794" spans="3:3" ht="19.899999999999999" customHeight="1">
      <c r="C1794" s="220"/>
    </row>
    <row r="1795" spans="3:3" ht="19.899999999999999" customHeight="1">
      <c r="C1795" s="220"/>
    </row>
    <row r="1796" spans="3:3" ht="19.899999999999999" customHeight="1">
      <c r="C1796" s="220"/>
    </row>
    <row r="1797" spans="3:3" ht="19.899999999999999" customHeight="1">
      <c r="C1797" s="220"/>
    </row>
    <row r="1798" spans="3:3" ht="19.899999999999999" customHeight="1">
      <c r="C1798" s="220"/>
    </row>
    <row r="1799" spans="3:3" ht="19.899999999999999" customHeight="1">
      <c r="C1799" s="220"/>
    </row>
    <row r="1800" spans="3:3" ht="19.899999999999999" customHeight="1">
      <c r="C1800" s="220"/>
    </row>
    <row r="1801" spans="3:3" ht="19.899999999999999" customHeight="1">
      <c r="C1801" s="220"/>
    </row>
    <row r="1802" spans="3:3" ht="19.899999999999999" customHeight="1">
      <c r="C1802" s="220"/>
    </row>
    <row r="1803" spans="3:3" ht="19.899999999999999" customHeight="1">
      <c r="C1803" s="220"/>
    </row>
    <row r="1804" spans="3:3" ht="19.899999999999999" customHeight="1">
      <c r="C1804" s="220"/>
    </row>
    <row r="1805" spans="3:3" ht="19.899999999999999" customHeight="1">
      <c r="C1805" s="220"/>
    </row>
    <row r="1806" spans="3:3" ht="19.899999999999999" customHeight="1">
      <c r="C1806" s="220"/>
    </row>
    <row r="1807" spans="3:3" ht="19.899999999999999" customHeight="1">
      <c r="C1807" s="220"/>
    </row>
    <row r="1808" spans="3:3" ht="19.899999999999999" customHeight="1">
      <c r="C1808" s="220"/>
    </row>
    <row r="1809" spans="3:3" ht="19.899999999999999" customHeight="1">
      <c r="C1809" s="220"/>
    </row>
    <row r="1810" spans="3:3" ht="19.899999999999999" customHeight="1">
      <c r="C1810" s="220"/>
    </row>
    <row r="1811" spans="3:3" ht="19.899999999999999" customHeight="1">
      <c r="C1811" s="220"/>
    </row>
    <row r="1812" spans="3:3" ht="19.899999999999999" customHeight="1">
      <c r="C1812" s="220"/>
    </row>
    <row r="1813" spans="3:3" ht="19.899999999999999" customHeight="1">
      <c r="C1813" s="220"/>
    </row>
    <row r="1814" spans="3:3" ht="19.899999999999999" customHeight="1">
      <c r="C1814" s="220"/>
    </row>
    <row r="1815" spans="3:3" ht="19.899999999999999" customHeight="1">
      <c r="C1815" s="220"/>
    </row>
    <row r="1816" spans="3:3" ht="19.899999999999999" customHeight="1">
      <c r="C1816" s="220"/>
    </row>
    <row r="1817" spans="3:3" ht="19.899999999999999" customHeight="1">
      <c r="C1817" s="220"/>
    </row>
    <row r="1818" spans="3:3" ht="19.899999999999999" customHeight="1">
      <c r="C1818" s="220"/>
    </row>
    <row r="1819" spans="3:3" ht="19.899999999999999" customHeight="1">
      <c r="C1819" s="220"/>
    </row>
    <row r="1820" spans="3:3" ht="19.899999999999999" customHeight="1">
      <c r="C1820" s="220"/>
    </row>
    <row r="1821" spans="3:3" ht="19.899999999999999" customHeight="1">
      <c r="C1821" s="220"/>
    </row>
    <row r="1822" spans="3:3" ht="19.899999999999999" customHeight="1">
      <c r="C1822" s="220"/>
    </row>
    <row r="1823" spans="3:3" ht="19.899999999999999" customHeight="1">
      <c r="C1823" s="220"/>
    </row>
    <row r="1824" spans="3:3" ht="19.899999999999999" customHeight="1">
      <c r="C1824" s="220"/>
    </row>
    <row r="1825" spans="3:3" ht="19.899999999999999" customHeight="1">
      <c r="C1825" s="220"/>
    </row>
    <row r="1826" spans="3:3" ht="19.899999999999999" customHeight="1">
      <c r="C1826" s="220"/>
    </row>
    <row r="1827" spans="3:3" ht="19.899999999999999" customHeight="1">
      <c r="C1827" s="220"/>
    </row>
    <row r="1828" spans="3:3" ht="19.899999999999999" customHeight="1">
      <c r="C1828" s="220"/>
    </row>
    <row r="1829" spans="3:3" ht="19.899999999999999" customHeight="1">
      <c r="C1829" s="220"/>
    </row>
    <row r="1830" spans="3:3" ht="19.899999999999999" customHeight="1">
      <c r="C1830" s="220"/>
    </row>
    <row r="1831" spans="3:3" ht="19.899999999999999" customHeight="1">
      <c r="C1831" s="220"/>
    </row>
    <row r="1832" spans="3:3" ht="19.899999999999999" customHeight="1">
      <c r="C1832" s="220"/>
    </row>
    <row r="1833" spans="3:3" ht="19.899999999999999" customHeight="1">
      <c r="C1833" s="220"/>
    </row>
    <row r="1834" spans="3:3" ht="19.899999999999999" customHeight="1">
      <c r="C1834" s="220"/>
    </row>
    <row r="1835" spans="3:3" ht="19.899999999999999" customHeight="1">
      <c r="C1835" s="220"/>
    </row>
    <row r="1836" spans="3:3" ht="19.899999999999999" customHeight="1">
      <c r="C1836" s="220"/>
    </row>
    <row r="1837" spans="3:3" ht="19.899999999999999" customHeight="1">
      <c r="C1837" s="220"/>
    </row>
    <row r="1838" spans="3:3" ht="19.899999999999999" customHeight="1">
      <c r="C1838" s="220"/>
    </row>
    <row r="1839" spans="3:3" ht="19.899999999999999" customHeight="1">
      <c r="C1839" s="220"/>
    </row>
    <row r="1840" spans="3:3" ht="19.899999999999999" customHeight="1">
      <c r="C1840" s="220"/>
    </row>
    <row r="1841" spans="3:3" ht="19.899999999999999" customHeight="1">
      <c r="C1841" s="220"/>
    </row>
    <row r="1842" spans="3:3" ht="19.899999999999999" customHeight="1">
      <c r="C1842" s="220"/>
    </row>
    <row r="1843" spans="3:3" ht="19.899999999999999" customHeight="1">
      <c r="C1843" s="220"/>
    </row>
    <row r="1844" spans="3:3" ht="19.899999999999999" customHeight="1">
      <c r="C1844" s="220"/>
    </row>
    <row r="1845" spans="3:3" ht="19.899999999999999" customHeight="1">
      <c r="C1845" s="220"/>
    </row>
    <row r="1846" spans="3:3" ht="19.899999999999999" customHeight="1">
      <c r="C1846" s="220"/>
    </row>
    <row r="1847" spans="3:3" ht="19.899999999999999" customHeight="1">
      <c r="C1847" s="220"/>
    </row>
    <row r="1848" spans="3:3" ht="19.899999999999999" customHeight="1">
      <c r="C1848" s="220"/>
    </row>
    <row r="1849" spans="3:3" ht="19.899999999999999" customHeight="1">
      <c r="C1849" s="220"/>
    </row>
    <row r="1850" spans="3:3" ht="19.899999999999999" customHeight="1">
      <c r="C1850" s="220"/>
    </row>
    <row r="1851" spans="3:3" ht="19.899999999999999" customHeight="1">
      <c r="C1851" s="220"/>
    </row>
    <row r="1852" spans="3:3" ht="19.899999999999999" customHeight="1">
      <c r="C1852" s="220"/>
    </row>
    <row r="1853" spans="3:3" ht="19.899999999999999" customHeight="1">
      <c r="C1853" s="220"/>
    </row>
    <row r="1854" spans="3:3" ht="19.899999999999999" customHeight="1">
      <c r="C1854" s="220"/>
    </row>
    <row r="1855" spans="3:3" ht="19.899999999999999" customHeight="1">
      <c r="C1855" s="220"/>
    </row>
    <row r="1856" spans="3:3" ht="19.899999999999999" customHeight="1">
      <c r="C1856" s="220"/>
    </row>
    <row r="1857" spans="3:3" ht="19.899999999999999" customHeight="1">
      <c r="C1857" s="220"/>
    </row>
    <row r="1858" spans="3:3" ht="19.899999999999999" customHeight="1">
      <c r="C1858" s="220"/>
    </row>
    <row r="1859" spans="3:3" ht="19.899999999999999" customHeight="1">
      <c r="C1859" s="220"/>
    </row>
    <row r="1860" spans="3:3" ht="19.899999999999999" customHeight="1">
      <c r="C1860" s="220"/>
    </row>
    <row r="1861" spans="3:3" ht="19.899999999999999" customHeight="1">
      <c r="C1861" s="220"/>
    </row>
    <row r="1862" spans="3:3" ht="19.899999999999999" customHeight="1">
      <c r="C1862" s="220"/>
    </row>
    <row r="1863" spans="3:3" ht="19.899999999999999" customHeight="1">
      <c r="C1863" s="220"/>
    </row>
    <row r="1864" spans="3:3" ht="19.899999999999999" customHeight="1">
      <c r="C1864" s="220"/>
    </row>
    <row r="1865" spans="3:3" ht="19.899999999999999" customHeight="1">
      <c r="C1865" s="220"/>
    </row>
    <row r="1866" spans="3:3" ht="19.899999999999999" customHeight="1">
      <c r="C1866" s="220"/>
    </row>
    <row r="1867" spans="3:3" ht="19.899999999999999" customHeight="1">
      <c r="C1867" s="220"/>
    </row>
    <row r="1868" spans="3:3" ht="19.899999999999999" customHeight="1">
      <c r="C1868" s="220"/>
    </row>
    <row r="1869" spans="3:3" ht="19.899999999999999" customHeight="1">
      <c r="C1869" s="220"/>
    </row>
    <row r="1870" spans="3:3" ht="19.899999999999999" customHeight="1">
      <c r="C1870" s="220"/>
    </row>
    <row r="1871" spans="3:3" ht="19.899999999999999" customHeight="1">
      <c r="C1871" s="220"/>
    </row>
    <row r="1872" spans="3:3" ht="19.899999999999999" customHeight="1">
      <c r="C1872" s="220"/>
    </row>
    <row r="1873" spans="3:3" ht="19.899999999999999" customHeight="1">
      <c r="C1873" s="220"/>
    </row>
    <row r="1874" spans="3:3" ht="19.899999999999999" customHeight="1">
      <c r="C1874" s="220"/>
    </row>
    <row r="1875" spans="3:3" ht="19.899999999999999" customHeight="1">
      <c r="C1875" s="220"/>
    </row>
    <row r="1876" spans="3:3" ht="19.899999999999999" customHeight="1">
      <c r="C1876" s="220"/>
    </row>
    <row r="1877" spans="3:3" ht="19.899999999999999" customHeight="1">
      <c r="C1877" s="220"/>
    </row>
    <row r="1878" spans="3:3" ht="19.899999999999999" customHeight="1">
      <c r="C1878" s="220"/>
    </row>
    <row r="1879" spans="3:3" ht="19.899999999999999" customHeight="1">
      <c r="C1879" s="220"/>
    </row>
    <row r="1880" spans="3:3" ht="19.899999999999999" customHeight="1">
      <c r="C1880" s="220"/>
    </row>
    <row r="1881" spans="3:3" ht="19.899999999999999" customHeight="1">
      <c r="C1881" s="220"/>
    </row>
    <row r="1882" spans="3:3" ht="19.899999999999999" customHeight="1">
      <c r="C1882" s="220"/>
    </row>
    <row r="1883" spans="3:3" ht="19.899999999999999" customHeight="1">
      <c r="C1883" s="220"/>
    </row>
    <row r="1884" spans="3:3" ht="19.899999999999999" customHeight="1">
      <c r="C1884" s="220"/>
    </row>
    <row r="1885" spans="3:3" ht="19.899999999999999" customHeight="1">
      <c r="C1885" s="220"/>
    </row>
    <row r="1886" spans="3:3" ht="19.899999999999999" customHeight="1">
      <c r="C1886" s="220"/>
    </row>
    <row r="1887" spans="3:3" ht="19.899999999999999" customHeight="1">
      <c r="C1887" s="220"/>
    </row>
    <row r="1888" spans="3:3" ht="19.899999999999999" customHeight="1">
      <c r="C1888" s="220"/>
    </row>
    <row r="1889" spans="3:3" ht="19.899999999999999" customHeight="1">
      <c r="C1889" s="220"/>
    </row>
    <row r="1890" spans="3:3" ht="19.899999999999999" customHeight="1">
      <c r="C1890" s="220"/>
    </row>
    <row r="1891" spans="3:3" ht="19.899999999999999" customHeight="1">
      <c r="C1891" s="220"/>
    </row>
    <row r="1892" spans="3:3" ht="19.899999999999999" customHeight="1">
      <c r="C1892" s="220"/>
    </row>
    <row r="1893" spans="3:3" ht="19.899999999999999" customHeight="1">
      <c r="C1893" s="220"/>
    </row>
    <row r="1894" spans="3:3" ht="19.899999999999999" customHeight="1">
      <c r="C1894" s="220"/>
    </row>
    <row r="1895" spans="3:3" ht="19.899999999999999" customHeight="1">
      <c r="C1895" s="220"/>
    </row>
    <row r="1896" spans="3:3" ht="19.899999999999999" customHeight="1">
      <c r="C1896" s="220"/>
    </row>
    <row r="1897" spans="3:3" ht="19.899999999999999" customHeight="1">
      <c r="C1897" s="220"/>
    </row>
    <row r="1898" spans="3:3" ht="19.899999999999999" customHeight="1">
      <c r="C1898" s="220"/>
    </row>
    <row r="1899" spans="3:3" ht="19.899999999999999" customHeight="1">
      <c r="C1899" s="220"/>
    </row>
    <row r="1900" spans="3:3" ht="19.899999999999999" customHeight="1">
      <c r="C1900" s="220"/>
    </row>
    <row r="1901" spans="3:3" ht="19.899999999999999" customHeight="1">
      <c r="C1901" s="220"/>
    </row>
    <row r="1902" spans="3:3" ht="19.899999999999999" customHeight="1">
      <c r="C1902" s="220"/>
    </row>
    <row r="1903" spans="3:3" ht="19.899999999999999" customHeight="1">
      <c r="C1903" s="220"/>
    </row>
    <row r="1904" spans="3:3" ht="19.899999999999999" customHeight="1">
      <c r="C1904" s="220"/>
    </row>
    <row r="1905" spans="3:3" ht="19.899999999999999" customHeight="1">
      <c r="C1905" s="220"/>
    </row>
    <row r="1906" spans="3:3" ht="19.899999999999999" customHeight="1">
      <c r="C1906" s="220"/>
    </row>
    <row r="1907" spans="3:3" ht="19.899999999999999" customHeight="1">
      <c r="C1907" s="220"/>
    </row>
    <row r="1908" spans="3:3" ht="19.899999999999999" customHeight="1">
      <c r="C1908" s="220"/>
    </row>
    <row r="1909" spans="3:3" ht="19.899999999999999" customHeight="1">
      <c r="C1909" s="220"/>
    </row>
    <row r="1910" spans="3:3" ht="19.899999999999999" customHeight="1">
      <c r="C1910" s="220"/>
    </row>
    <row r="1911" spans="3:3" ht="19.899999999999999" customHeight="1">
      <c r="C1911" s="220"/>
    </row>
    <row r="1912" spans="3:3" ht="19.899999999999999" customHeight="1">
      <c r="C1912" s="220"/>
    </row>
    <row r="1913" spans="3:3" ht="19.899999999999999" customHeight="1">
      <c r="C1913" s="220"/>
    </row>
    <row r="1914" spans="3:3" ht="19.899999999999999" customHeight="1">
      <c r="C1914" s="220"/>
    </row>
    <row r="1915" spans="3:3" ht="19.899999999999999" customHeight="1">
      <c r="C1915" s="220"/>
    </row>
    <row r="1916" spans="3:3" ht="19.899999999999999" customHeight="1">
      <c r="C1916" s="220"/>
    </row>
    <row r="1917" spans="3:3" ht="19.899999999999999" customHeight="1">
      <c r="C1917" s="220"/>
    </row>
    <row r="1918" spans="3:3" ht="19.899999999999999" customHeight="1">
      <c r="C1918" s="220"/>
    </row>
    <row r="1919" spans="3:3" ht="19.899999999999999" customHeight="1">
      <c r="C1919" s="220"/>
    </row>
    <row r="1920" spans="3:3" ht="19.899999999999999" customHeight="1">
      <c r="C1920" s="220"/>
    </row>
    <row r="1921" spans="3:3" ht="19.899999999999999" customHeight="1">
      <c r="C1921" s="220"/>
    </row>
    <row r="1922" spans="3:3" ht="19.899999999999999" customHeight="1">
      <c r="C1922" s="220"/>
    </row>
    <row r="1923" spans="3:3" ht="19.899999999999999" customHeight="1">
      <c r="C1923" s="220"/>
    </row>
    <row r="1924" spans="3:3" ht="19.899999999999999" customHeight="1">
      <c r="C1924" s="220"/>
    </row>
    <row r="1925" spans="3:3" ht="19.899999999999999" customHeight="1">
      <c r="C1925" s="220"/>
    </row>
    <row r="1926" spans="3:3" ht="19.899999999999999" customHeight="1">
      <c r="C1926" s="220"/>
    </row>
    <row r="1927" spans="3:3" ht="19.899999999999999" customHeight="1">
      <c r="C1927" s="220"/>
    </row>
    <row r="1928" spans="3:3" ht="19.899999999999999" customHeight="1">
      <c r="C1928" s="220"/>
    </row>
    <row r="1929" spans="3:3" ht="19.899999999999999" customHeight="1">
      <c r="C1929" s="220"/>
    </row>
    <row r="1930" spans="3:3" ht="19.899999999999999" customHeight="1">
      <c r="C1930" s="220"/>
    </row>
    <row r="1931" spans="3:3" ht="19.899999999999999" customHeight="1">
      <c r="C1931" s="220"/>
    </row>
    <row r="1932" spans="3:3" ht="19.899999999999999" customHeight="1">
      <c r="C1932" s="220"/>
    </row>
    <row r="1933" spans="3:3" ht="19.899999999999999" customHeight="1">
      <c r="C1933" s="220"/>
    </row>
    <row r="1934" spans="3:3" ht="19.899999999999999" customHeight="1">
      <c r="C1934" s="220"/>
    </row>
    <row r="1935" spans="3:3" ht="19.899999999999999" customHeight="1">
      <c r="C1935" s="220"/>
    </row>
    <row r="1936" spans="3:3" ht="19.899999999999999" customHeight="1">
      <c r="C1936" s="220"/>
    </row>
    <row r="1937" spans="3:3" ht="19.899999999999999" customHeight="1">
      <c r="C1937" s="220"/>
    </row>
    <row r="1938" spans="3:3" ht="19.899999999999999" customHeight="1">
      <c r="C1938" s="220"/>
    </row>
    <row r="1939" spans="3:3" ht="19.899999999999999" customHeight="1">
      <c r="C1939" s="220"/>
    </row>
    <row r="1940" spans="3:3" ht="19.899999999999999" customHeight="1">
      <c r="C1940" s="220"/>
    </row>
    <row r="1941" spans="3:3" ht="19.899999999999999" customHeight="1">
      <c r="C1941" s="220"/>
    </row>
    <row r="1942" spans="3:3" ht="19.899999999999999" customHeight="1">
      <c r="C1942" s="220"/>
    </row>
    <row r="1943" spans="3:3" ht="19.899999999999999" customHeight="1">
      <c r="C1943" s="220"/>
    </row>
    <row r="1944" spans="3:3" ht="19.899999999999999" customHeight="1">
      <c r="C1944" s="220"/>
    </row>
    <row r="1945" spans="3:3" ht="19.899999999999999" customHeight="1">
      <c r="C1945" s="220"/>
    </row>
    <row r="1946" spans="3:3" ht="19.899999999999999" customHeight="1">
      <c r="C1946" s="220"/>
    </row>
    <row r="1947" spans="3:3" ht="19.899999999999999" customHeight="1">
      <c r="C1947" s="220"/>
    </row>
    <row r="1948" spans="3:3" ht="19.899999999999999" customHeight="1">
      <c r="C1948" s="220"/>
    </row>
    <row r="1949" spans="3:3" ht="19.899999999999999" customHeight="1">
      <c r="C1949" s="220"/>
    </row>
    <row r="1950" spans="3:3" ht="19.899999999999999" customHeight="1">
      <c r="C1950" s="220"/>
    </row>
    <row r="1951" spans="3:3" ht="19.899999999999999" customHeight="1">
      <c r="C1951" s="220"/>
    </row>
    <row r="1952" spans="3:3" ht="19.899999999999999" customHeight="1">
      <c r="C1952" s="220"/>
    </row>
    <row r="1953" spans="3:3" ht="19.899999999999999" customHeight="1">
      <c r="C1953" s="220"/>
    </row>
    <row r="1954" spans="3:3" ht="19.899999999999999" customHeight="1">
      <c r="C1954" s="220"/>
    </row>
    <row r="1955" spans="3:3" ht="19.899999999999999" customHeight="1">
      <c r="C1955" s="220"/>
    </row>
    <row r="1956" spans="3:3" ht="19.899999999999999" customHeight="1">
      <c r="C1956" s="220"/>
    </row>
    <row r="1957" spans="3:3" ht="19.899999999999999" customHeight="1">
      <c r="C1957" s="220"/>
    </row>
    <row r="1958" spans="3:3" ht="19.899999999999999" customHeight="1">
      <c r="C1958" s="220"/>
    </row>
    <row r="1959" spans="3:3" ht="19.899999999999999" customHeight="1">
      <c r="C1959" s="220"/>
    </row>
    <row r="1960" spans="3:3" ht="19.899999999999999" customHeight="1">
      <c r="C1960" s="220"/>
    </row>
    <row r="1961" spans="3:3" ht="19.899999999999999" customHeight="1">
      <c r="C1961" s="220"/>
    </row>
    <row r="1962" spans="3:3" ht="19.899999999999999" customHeight="1">
      <c r="C1962" s="220"/>
    </row>
    <row r="1963" spans="3:3" ht="19.899999999999999" customHeight="1">
      <c r="C1963" s="220"/>
    </row>
    <row r="1964" spans="3:3" ht="19.899999999999999" customHeight="1">
      <c r="C1964" s="220"/>
    </row>
    <row r="1965" spans="3:3" ht="19.899999999999999" customHeight="1">
      <c r="C1965" s="220"/>
    </row>
    <row r="1966" spans="3:3" ht="19.899999999999999" customHeight="1">
      <c r="C1966" s="220"/>
    </row>
    <row r="1967" spans="3:3" ht="19.899999999999999" customHeight="1">
      <c r="C1967" s="220"/>
    </row>
    <row r="1968" spans="3:3" ht="19.899999999999999" customHeight="1">
      <c r="C1968" s="220"/>
    </row>
    <row r="1969" spans="3:3" ht="19.899999999999999" customHeight="1">
      <c r="C1969" s="220"/>
    </row>
    <row r="1970" spans="3:3" ht="19.899999999999999" customHeight="1">
      <c r="C1970" s="220"/>
    </row>
    <row r="1971" spans="3:3" ht="19.899999999999999" customHeight="1">
      <c r="C1971" s="220"/>
    </row>
    <row r="1972" spans="3:3" ht="19.899999999999999" customHeight="1">
      <c r="C1972" s="220"/>
    </row>
    <row r="1973" spans="3:3" ht="19.899999999999999" customHeight="1">
      <c r="C1973" s="220"/>
    </row>
    <row r="1974" spans="3:3" ht="19.899999999999999" customHeight="1">
      <c r="C1974" s="220"/>
    </row>
    <row r="1975" spans="3:3" ht="19.899999999999999" customHeight="1">
      <c r="C1975" s="220"/>
    </row>
    <row r="1976" spans="3:3" ht="19.899999999999999" customHeight="1">
      <c r="C1976" s="220"/>
    </row>
    <row r="1977" spans="3:3" ht="19.899999999999999" customHeight="1">
      <c r="C1977" s="220"/>
    </row>
    <row r="1978" spans="3:3" ht="19.899999999999999" customHeight="1">
      <c r="C1978" s="220"/>
    </row>
    <row r="1979" spans="3:3" ht="19.899999999999999" customHeight="1">
      <c r="C1979" s="220"/>
    </row>
    <row r="1980" spans="3:3" ht="19.899999999999999" customHeight="1">
      <c r="C1980" s="220"/>
    </row>
    <row r="1981" spans="3:3" ht="19.899999999999999" customHeight="1">
      <c r="C1981" s="220"/>
    </row>
    <row r="1982" spans="3:3" ht="19.899999999999999" customHeight="1">
      <c r="C1982" s="220"/>
    </row>
    <row r="1983" spans="3:3" ht="19.899999999999999" customHeight="1">
      <c r="C1983" s="220"/>
    </row>
    <row r="1984" spans="3:3" ht="19.899999999999999" customHeight="1">
      <c r="C1984" s="220"/>
    </row>
    <row r="1985" spans="3:3" ht="19.899999999999999" customHeight="1">
      <c r="C1985" s="220"/>
    </row>
    <row r="1986" spans="3:3" ht="19.899999999999999" customHeight="1">
      <c r="C1986" s="220"/>
    </row>
    <row r="1987" spans="3:3" ht="19.899999999999999" customHeight="1">
      <c r="C1987" s="220"/>
    </row>
    <row r="1988" spans="3:3" ht="19.899999999999999" customHeight="1">
      <c r="C1988" s="220"/>
    </row>
    <row r="1989" spans="3:3" ht="19.899999999999999" customHeight="1">
      <c r="C1989" s="220"/>
    </row>
    <row r="1990" spans="3:3" ht="19.899999999999999" customHeight="1">
      <c r="C1990" s="220"/>
    </row>
    <row r="1991" spans="3:3" ht="19.899999999999999" customHeight="1">
      <c r="C1991" s="220"/>
    </row>
    <row r="1992" spans="3:3" ht="19.899999999999999" customHeight="1">
      <c r="C1992" s="220"/>
    </row>
    <row r="1993" spans="3:3" ht="19.899999999999999" customHeight="1">
      <c r="C1993" s="220"/>
    </row>
    <row r="1994" spans="3:3" ht="19.899999999999999" customHeight="1">
      <c r="C1994" s="220"/>
    </row>
    <row r="1995" spans="3:3" ht="19.899999999999999" customHeight="1">
      <c r="C1995" s="220"/>
    </row>
    <row r="1996" spans="3:3" ht="19.899999999999999" customHeight="1">
      <c r="C1996" s="220"/>
    </row>
    <row r="1997" spans="3:3" ht="19.899999999999999" customHeight="1">
      <c r="C1997" s="220"/>
    </row>
    <row r="1998" spans="3:3" ht="19.899999999999999" customHeight="1">
      <c r="C1998" s="220"/>
    </row>
    <row r="1999" spans="3:3" ht="19.899999999999999" customHeight="1">
      <c r="C1999" s="220"/>
    </row>
    <row r="2000" spans="3:3" ht="19.899999999999999" customHeight="1">
      <c r="C2000" s="220"/>
    </row>
    <row r="2001" spans="3:3" ht="19.899999999999999" customHeight="1">
      <c r="C2001" s="220"/>
    </row>
    <row r="2002" spans="3:3" ht="19.899999999999999" customHeight="1">
      <c r="C2002" s="220"/>
    </row>
    <row r="2003" spans="3:3" ht="19.899999999999999" customHeight="1">
      <c r="C2003" s="220"/>
    </row>
    <row r="2004" spans="3:3" ht="19.899999999999999" customHeight="1">
      <c r="C2004" s="220"/>
    </row>
    <row r="2005" spans="3:3" ht="19.899999999999999" customHeight="1">
      <c r="C2005" s="220"/>
    </row>
    <row r="2006" spans="3:3" ht="19.899999999999999" customHeight="1">
      <c r="C2006" s="220"/>
    </row>
    <row r="2007" spans="3:3" ht="19.899999999999999" customHeight="1">
      <c r="C2007" s="220"/>
    </row>
    <row r="2008" spans="3:3" ht="19.899999999999999" customHeight="1">
      <c r="C2008" s="220"/>
    </row>
    <row r="2009" spans="3:3" ht="19.899999999999999" customHeight="1">
      <c r="C2009" s="220"/>
    </row>
    <row r="2010" spans="3:3" ht="19.899999999999999" customHeight="1">
      <c r="C2010" s="220"/>
    </row>
    <row r="2011" spans="3:3" ht="19.899999999999999" customHeight="1">
      <c r="C2011" s="220"/>
    </row>
    <row r="2012" spans="3:3" ht="19.899999999999999" customHeight="1">
      <c r="C2012" s="220"/>
    </row>
    <row r="2013" spans="3:3" ht="19.899999999999999" customHeight="1">
      <c r="C2013" s="220"/>
    </row>
    <row r="2014" spans="3:3" ht="19.899999999999999" customHeight="1">
      <c r="C2014" s="220"/>
    </row>
    <row r="2015" spans="3:3" ht="19.899999999999999" customHeight="1">
      <c r="C2015" s="220"/>
    </row>
    <row r="2016" spans="3:3" ht="19.899999999999999" customHeight="1">
      <c r="C2016" s="220"/>
    </row>
    <row r="2017" spans="3:3" ht="19.899999999999999" customHeight="1">
      <c r="C2017" s="220"/>
    </row>
    <row r="2018" spans="3:3" ht="19.899999999999999" customHeight="1">
      <c r="C2018" s="220"/>
    </row>
    <row r="2019" spans="3:3" ht="19.899999999999999" customHeight="1">
      <c r="C2019" s="220"/>
    </row>
    <row r="2020" spans="3:3" ht="19.899999999999999" customHeight="1">
      <c r="C2020" s="220"/>
    </row>
    <row r="2021" spans="3:3" ht="19.899999999999999" customHeight="1">
      <c r="C2021" s="220"/>
    </row>
    <row r="2022" spans="3:3" ht="19.899999999999999" customHeight="1">
      <c r="C2022" s="220"/>
    </row>
    <row r="2023" spans="3:3" ht="19.899999999999999" customHeight="1">
      <c r="C2023" s="220"/>
    </row>
    <row r="2024" spans="3:3" ht="19.899999999999999" customHeight="1">
      <c r="C2024" s="220"/>
    </row>
    <row r="2025" spans="3:3" ht="19.899999999999999" customHeight="1">
      <c r="C2025" s="220"/>
    </row>
    <row r="2026" spans="3:3" ht="19.899999999999999" customHeight="1">
      <c r="C2026" s="220"/>
    </row>
    <row r="2027" spans="3:3" ht="19.899999999999999" customHeight="1">
      <c r="C2027" s="220"/>
    </row>
    <row r="2028" spans="3:3" ht="19.899999999999999" customHeight="1">
      <c r="C2028" s="220"/>
    </row>
    <row r="2029" spans="3:3" ht="19.899999999999999" customHeight="1">
      <c r="C2029" s="220"/>
    </row>
    <row r="2030" spans="3:3" ht="19.899999999999999" customHeight="1">
      <c r="C2030" s="220"/>
    </row>
    <row r="2031" spans="3:3" ht="19.899999999999999" customHeight="1">
      <c r="C2031" s="220"/>
    </row>
    <row r="2032" spans="3:3" ht="19.899999999999999" customHeight="1">
      <c r="C2032" s="220"/>
    </row>
    <row r="2033" spans="3:3" ht="19.899999999999999" customHeight="1">
      <c r="C2033" s="220"/>
    </row>
    <row r="2034" spans="3:3" ht="19.899999999999999" customHeight="1">
      <c r="C2034" s="220"/>
    </row>
    <row r="2035" spans="3:3" ht="19.899999999999999" customHeight="1">
      <c r="C2035" s="220"/>
    </row>
    <row r="2036" spans="3:3" ht="19.899999999999999" customHeight="1">
      <c r="C2036" s="220"/>
    </row>
    <row r="2037" spans="3:3" ht="19.899999999999999" customHeight="1">
      <c r="C2037" s="220"/>
    </row>
    <row r="2038" spans="3:3" ht="19.899999999999999" customHeight="1">
      <c r="C2038" s="220"/>
    </row>
    <row r="2039" spans="3:3" ht="19.899999999999999" customHeight="1">
      <c r="C2039" s="220"/>
    </row>
    <row r="2040" spans="3:3" ht="19.899999999999999" customHeight="1">
      <c r="C2040" s="220"/>
    </row>
    <row r="2041" spans="3:3" ht="19.899999999999999" customHeight="1">
      <c r="C2041" s="220"/>
    </row>
    <row r="2042" spans="3:3" ht="19.899999999999999" customHeight="1">
      <c r="C2042" s="220"/>
    </row>
    <row r="2043" spans="3:3" ht="19.899999999999999" customHeight="1">
      <c r="C2043" s="220"/>
    </row>
    <row r="2044" spans="3:3" ht="19.899999999999999" customHeight="1">
      <c r="C2044" s="220"/>
    </row>
    <row r="2045" spans="3:3" ht="19.899999999999999" customHeight="1">
      <c r="C2045" s="220"/>
    </row>
    <row r="2046" spans="3:3" ht="19.899999999999999" customHeight="1">
      <c r="C2046" s="220"/>
    </row>
    <row r="2047" spans="3:3" ht="19.899999999999999" customHeight="1">
      <c r="C2047" s="220"/>
    </row>
    <row r="2048" spans="3:3" ht="19.899999999999999" customHeight="1">
      <c r="C2048" s="220"/>
    </row>
    <row r="2049" spans="3:3" ht="19.899999999999999" customHeight="1">
      <c r="C2049" s="220"/>
    </row>
    <row r="2050" spans="3:3" ht="19.899999999999999" customHeight="1">
      <c r="C2050" s="220"/>
    </row>
    <row r="2051" spans="3:3" ht="19.899999999999999" customHeight="1">
      <c r="C2051" s="220"/>
    </row>
    <row r="2052" spans="3:3" ht="19.899999999999999" customHeight="1">
      <c r="C2052" s="220"/>
    </row>
    <row r="2053" spans="3:3" ht="19.899999999999999" customHeight="1">
      <c r="C2053" s="220"/>
    </row>
    <row r="2054" spans="3:3" ht="19.899999999999999" customHeight="1">
      <c r="C2054" s="220"/>
    </row>
    <row r="2055" spans="3:3" ht="19.899999999999999" customHeight="1">
      <c r="C2055" s="220"/>
    </row>
    <row r="2056" spans="3:3" ht="19.899999999999999" customHeight="1">
      <c r="C2056" s="220"/>
    </row>
    <row r="2057" spans="3:3" ht="19.899999999999999" customHeight="1">
      <c r="C2057" s="220"/>
    </row>
    <row r="2058" spans="3:3" ht="19.899999999999999" customHeight="1">
      <c r="C2058" s="220"/>
    </row>
    <row r="2059" spans="3:3" ht="19.899999999999999" customHeight="1">
      <c r="C2059" s="220"/>
    </row>
    <row r="2060" spans="3:3" ht="19.899999999999999" customHeight="1">
      <c r="C2060" s="220"/>
    </row>
    <row r="2061" spans="3:3" ht="19.899999999999999" customHeight="1">
      <c r="C2061" s="220"/>
    </row>
    <row r="2062" spans="3:3" ht="19.899999999999999" customHeight="1">
      <c r="C2062" s="220"/>
    </row>
    <row r="2063" spans="3:3" ht="19.899999999999999" customHeight="1">
      <c r="C2063" s="220"/>
    </row>
    <row r="2064" spans="3:3" ht="19.899999999999999" customHeight="1">
      <c r="C2064" s="220"/>
    </row>
    <row r="2065" spans="3:3" ht="19.899999999999999" customHeight="1">
      <c r="C2065" s="220"/>
    </row>
    <row r="2066" spans="3:3" ht="19.899999999999999" customHeight="1">
      <c r="C2066" s="220"/>
    </row>
    <row r="2067" spans="3:3" ht="19.899999999999999" customHeight="1">
      <c r="C2067" s="220"/>
    </row>
    <row r="2068" spans="3:3" ht="19.899999999999999" customHeight="1">
      <c r="C2068" s="220"/>
    </row>
    <row r="2069" spans="3:3" ht="19.899999999999999" customHeight="1">
      <c r="C2069" s="220"/>
    </row>
    <row r="2070" spans="3:3" ht="19.899999999999999" customHeight="1">
      <c r="C2070" s="220"/>
    </row>
    <row r="2071" spans="3:3" ht="19.899999999999999" customHeight="1">
      <c r="C2071" s="220"/>
    </row>
    <row r="2072" spans="3:3" ht="19.899999999999999" customHeight="1">
      <c r="C2072" s="220"/>
    </row>
    <row r="2073" spans="3:3" ht="19.899999999999999" customHeight="1">
      <c r="C2073" s="220"/>
    </row>
    <row r="2074" spans="3:3" ht="19.899999999999999" customHeight="1">
      <c r="C2074" s="220"/>
    </row>
    <row r="2075" spans="3:3" ht="19.899999999999999" customHeight="1">
      <c r="C2075" s="220"/>
    </row>
    <row r="2076" spans="3:3" ht="19.899999999999999" customHeight="1">
      <c r="C2076" s="220"/>
    </row>
    <row r="2077" spans="3:3" ht="19.899999999999999" customHeight="1">
      <c r="C2077" s="220"/>
    </row>
    <row r="2078" spans="3:3" ht="19.899999999999999" customHeight="1">
      <c r="C2078" s="220"/>
    </row>
    <row r="2079" spans="3:3" ht="19.899999999999999" customHeight="1">
      <c r="C2079" s="220"/>
    </row>
    <row r="2080" spans="3:3" ht="19.899999999999999" customHeight="1">
      <c r="C2080" s="220"/>
    </row>
    <row r="2081" spans="3:3" ht="19.899999999999999" customHeight="1">
      <c r="C2081" s="220"/>
    </row>
    <row r="2082" spans="3:3" ht="19.899999999999999" customHeight="1">
      <c r="C2082" s="220"/>
    </row>
    <row r="2083" spans="3:3" ht="19.899999999999999" customHeight="1">
      <c r="C2083" s="220"/>
    </row>
    <row r="2084" spans="3:3" ht="19.899999999999999" customHeight="1">
      <c r="C2084" s="220"/>
    </row>
    <row r="2085" spans="3:3" ht="19.899999999999999" customHeight="1">
      <c r="C2085" s="220"/>
    </row>
    <row r="2086" spans="3:3" ht="19.899999999999999" customHeight="1">
      <c r="C2086" s="220"/>
    </row>
    <row r="2087" spans="3:3" ht="19.899999999999999" customHeight="1">
      <c r="C2087" s="220"/>
    </row>
    <row r="2088" spans="3:3" ht="19.899999999999999" customHeight="1">
      <c r="C2088" s="220"/>
    </row>
    <row r="2089" spans="3:3" ht="19.899999999999999" customHeight="1">
      <c r="C2089" s="220"/>
    </row>
    <row r="2090" spans="3:3" ht="19.899999999999999" customHeight="1">
      <c r="C2090" s="220"/>
    </row>
    <row r="2091" spans="3:3" ht="19.899999999999999" customHeight="1">
      <c r="C2091" s="220"/>
    </row>
    <row r="2092" spans="3:3" ht="19.899999999999999" customHeight="1">
      <c r="C2092" s="220"/>
    </row>
    <row r="2093" spans="3:3" ht="19.899999999999999" customHeight="1">
      <c r="C2093" s="220"/>
    </row>
    <row r="2094" spans="3:3" ht="19.899999999999999" customHeight="1">
      <c r="C2094" s="220"/>
    </row>
    <row r="2095" spans="3:3" ht="19.899999999999999" customHeight="1">
      <c r="C2095" s="220"/>
    </row>
    <row r="2096" spans="3:3" ht="19.899999999999999" customHeight="1">
      <c r="C2096" s="220"/>
    </row>
    <row r="2097" spans="3:3" ht="19.899999999999999" customHeight="1">
      <c r="C2097" s="220"/>
    </row>
    <row r="2098" spans="3:3" ht="19.899999999999999" customHeight="1">
      <c r="C2098" s="220"/>
    </row>
    <row r="2099" spans="3:3" ht="19.899999999999999" customHeight="1">
      <c r="C2099" s="220"/>
    </row>
    <row r="2100" spans="3:3" ht="19.899999999999999" customHeight="1">
      <c r="C2100" s="220"/>
    </row>
    <row r="2101" spans="3:3" ht="19.899999999999999" customHeight="1">
      <c r="C2101" s="220"/>
    </row>
    <row r="2102" spans="3:3" ht="19.899999999999999" customHeight="1">
      <c r="C2102" s="220"/>
    </row>
    <row r="2103" spans="3:3" ht="19.899999999999999" customHeight="1">
      <c r="C2103" s="220"/>
    </row>
    <row r="2104" spans="3:3" ht="19.899999999999999" customHeight="1">
      <c r="C2104" s="220"/>
    </row>
    <row r="2105" spans="3:3" ht="19.899999999999999" customHeight="1">
      <c r="C2105" s="220"/>
    </row>
    <row r="2106" spans="3:3" ht="19.899999999999999" customHeight="1">
      <c r="C2106" s="220"/>
    </row>
    <row r="2107" spans="3:3" ht="19.899999999999999" customHeight="1">
      <c r="C2107" s="220"/>
    </row>
    <row r="2108" spans="3:3" ht="19.899999999999999" customHeight="1">
      <c r="C2108" s="220"/>
    </row>
    <row r="2109" spans="3:3" ht="19.899999999999999" customHeight="1">
      <c r="C2109" s="220"/>
    </row>
    <row r="2110" spans="3:3" ht="19.899999999999999" customHeight="1">
      <c r="C2110" s="220"/>
    </row>
    <row r="2111" spans="3:3" ht="19.899999999999999" customHeight="1">
      <c r="C2111" s="220"/>
    </row>
    <row r="2112" spans="3:3" ht="19.899999999999999" customHeight="1">
      <c r="C2112" s="220"/>
    </row>
    <row r="2113" spans="3:3" ht="19.899999999999999" customHeight="1">
      <c r="C2113" s="220"/>
    </row>
    <row r="2114" spans="3:3" ht="19.899999999999999" customHeight="1">
      <c r="C2114" s="220"/>
    </row>
    <row r="2115" spans="3:3" ht="19.899999999999999" customHeight="1">
      <c r="C2115" s="220"/>
    </row>
    <row r="2116" spans="3:3" ht="19.899999999999999" customHeight="1">
      <c r="C2116" s="220"/>
    </row>
    <row r="2117" spans="3:3" ht="19.899999999999999" customHeight="1">
      <c r="C2117" s="220"/>
    </row>
    <row r="2118" spans="3:3" ht="19.899999999999999" customHeight="1">
      <c r="C2118" s="220"/>
    </row>
    <row r="2119" spans="3:3" ht="19.899999999999999" customHeight="1">
      <c r="C2119" s="220"/>
    </row>
    <row r="2120" spans="3:3" ht="19.899999999999999" customHeight="1">
      <c r="C2120" s="220"/>
    </row>
    <row r="2121" spans="3:3" ht="19.899999999999999" customHeight="1">
      <c r="C2121" s="220"/>
    </row>
    <row r="2122" spans="3:3" ht="19.899999999999999" customHeight="1">
      <c r="C2122" s="220"/>
    </row>
    <row r="2123" spans="3:3" ht="19.899999999999999" customHeight="1">
      <c r="C2123" s="220"/>
    </row>
    <row r="2124" spans="3:3" ht="19.899999999999999" customHeight="1">
      <c r="C2124" s="220"/>
    </row>
    <row r="2125" spans="3:3" ht="19.899999999999999" customHeight="1">
      <c r="C2125" s="220"/>
    </row>
    <row r="2126" spans="3:3" ht="19.899999999999999" customHeight="1">
      <c r="C2126" s="220"/>
    </row>
    <row r="2127" spans="3:3" ht="19.899999999999999" customHeight="1">
      <c r="C2127" s="220"/>
    </row>
    <row r="2128" spans="3:3" ht="19.899999999999999" customHeight="1">
      <c r="C2128" s="220"/>
    </row>
    <row r="2129" spans="3:3" ht="19.899999999999999" customHeight="1">
      <c r="C2129" s="220"/>
    </row>
    <row r="2130" spans="3:3" ht="19.899999999999999" customHeight="1">
      <c r="C2130" s="220"/>
    </row>
    <row r="2131" spans="3:3" ht="19.899999999999999" customHeight="1">
      <c r="C2131" s="220"/>
    </row>
    <row r="2132" spans="3:3" ht="19.899999999999999" customHeight="1">
      <c r="C2132" s="220"/>
    </row>
    <row r="2133" spans="3:3" ht="19.899999999999999" customHeight="1">
      <c r="C2133" s="220"/>
    </row>
    <row r="2134" spans="3:3" ht="19.899999999999999" customHeight="1">
      <c r="C2134" s="220"/>
    </row>
    <row r="2135" spans="3:3" ht="19.899999999999999" customHeight="1">
      <c r="C2135" s="220"/>
    </row>
    <row r="2136" spans="3:3" ht="19.899999999999999" customHeight="1">
      <c r="C2136" s="220"/>
    </row>
    <row r="2137" spans="3:3" ht="19.899999999999999" customHeight="1">
      <c r="C2137" s="220"/>
    </row>
    <row r="2138" spans="3:3" ht="19.899999999999999" customHeight="1">
      <c r="C2138" s="220"/>
    </row>
    <row r="2139" spans="3:3" ht="19.899999999999999" customHeight="1">
      <c r="C2139" s="220"/>
    </row>
    <row r="2140" spans="3:3" ht="19.899999999999999" customHeight="1">
      <c r="C2140" s="220"/>
    </row>
    <row r="2141" spans="3:3" ht="19.899999999999999" customHeight="1">
      <c r="C2141" s="220"/>
    </row>
    <row r="2142" spans="3:3" ht="19.899999999999999" customHeight="1">
      <c r="C2142" s="220"/>
    </row>
    <row r="2143" spans="3:3" ht="19.899999999999999" customHeight="1">
      <c r="C2143" s="220"/>
    </row>
    <row r="2144" spans="3:3" ht="19.899999999999999" customHeight="1">
      <c r="C2144" s="220"/>
    </row>
    <row r="2145" spans="3:3" ht="19.899999999999999" customHeight="1">
      <c r="C2145" s="220"/>
    </row>
    <row r="2146" spans="3:3" ht="19.899999999999999" customHeight="1">
      <c r="C2146" s="220"/>
    </row>
    <row r="2147" spans="3:3" ht="19.899999999999999" customHeight="1">
      <c r="C2147" s="220"/>
    </row>
    <row r="2148" spans="3:3" ht="19.899999999999999" customHeight="1">
      <c r="C2148" s="220"/>
    </row>
    <row r="2149" spans="3:3" ht="19.899999999999999" customHeight="1">
      <c r="C2149" s="220"/>
    </row>
    <row r="2150" spans="3:3" ht="19.899999999999999" customHeight="1">
      <c r="C2150" s="220"/>
    </row>
    <row r="2151" spans="3:3" ht="19.899999999999999" customHeight="1">
      <c r="C2151" s="220"/>
    </row>
    <row r="2152" spans="3:3" ht="19.899999999999999" customHeight="1">
      <c r="C2152" s="220"/>
    </row>
    <row r="2153" spans="3:3" ht="19.899999999999999" customHeight="1">
      <c r="C2153" s="220"/>
    </row>
    <row r="2154" spans="3:3" ht="19.899999999999999" customHeight="1">
      <c r="C2154" s="220"/>
    </row>
    <row r="2155" spans="3:3" ht="19.899999999999999" customHeight="1">
      <c r="C2155" s="220"/>
    </row>
    <row r="2156" spans="3:3" ht="19.899999999999999" customHeight="1">
      <c r="C2156" s="220"/>
    </row>
    <row r="2157" spans="3:3" ht="19.899999999999999" customHeight="1">
      <c r="C2157" s="220"/>
    </row>
    <row r="2158" spans="3:3" ht="19.899999999999999" customHeight="1">
      <c r="C2158" s="220"/>
    </row>
    <row r="2159" spans="3:3" ht="19.899999999999999" customHeight="1">
      <c r="C2159" s="220"/>
    </row>
    <row r="2160" spans="3:3" ht="19.899999999999999" customHeight="1">
      <c r="C2160" s="220"/>
    </row>
    <row r="2161" spans="3:3" ht="19.899999999999999" customHeight="1">
      <c r="C2161" s="220"/>
    </row>
    <row r="2162" spans="3:3" ht="19.899999999999999" customHeight="1">
      <c r="C2162" s="220"/>
    </row>
    <row r="2163" spans="3:3" ht="19.899999999999999" customHeight="1">
      <c r="C2163" s="220"/>
    </row>
    <row r="2164" spans="3:3" ht="19.899999999999999" customHeight="1">
      <c r="C2164" s="220"/>
    </row>
    <row r="2165" spans="3:3" ht="19.899999999999999" customHeight="1">
      <c r="C2165" s="220"/>
    </row>
    <row r="2166" spans="3:3" ht="19.899999999999999" customHeight="1">
      <c r="C2166" s="220"/>
    </row>
    <row r="2167" spans="3:3" ht="19.899999999999999" customHeight="1">
      <c r="C2167" s="220"/>
    </row>
    <row r="2168" spans="3:3" ht="19.899999999999999" customHeight="1">
      <c r="C2168" s="220"/>
    </row>
    <row r="2169" spans="3:3" ht="19.899999999999999" customHeight="1">
      <c r="C2169" s="220"/>
    </row>
    <row r="2170" spans="3:3" ht="19.899999999999999" customHeight="1">
      <c r="C2170" s="220"/>
    </row>
    <row r="2171" spans="3:3" ht="19.899999999999999" customHeight="1">
      <c r="C2171" s="220"/>
    </row>
    <row r="2172" spans="3:3" ht="19.899999999999999" customHeight="1">
      <c r="C2172" s="220"/>
    </row>
    <row r="2173" spans="3:3" ht="19.899999999999999" customHeight="1">
      <c r="C2173" s="220"/>
    </row>
    <row r="2174" spans="3:3" ht="19.899999999999999" customHeight="1">
      <c r="C2174" s="220"/>
    </row>
    <row r="2175" spans="3:3" ht="19.899999999999999" customHeight="1">
      <c r="C2175" s="220"/>
    </row>
    <row r="2176" spans="3:3" ht="19.899999999999999" customHeight="1">
      <c r="C2176" s="220"/>
    </row>
    <row r="2177" spans="3:3" ht="19.899999999999999" customHeight="1">
      <c r="C2177" s="220"/>
    </row>
    <row r="2178" spans="3:3" ht="19.899999999999999" customHeight="1">
      <c r="C2178" s="220"/>
    </row>
    <row r="2179" spans="3:3" ht="19.899999999999999" customHeight="1">
      <c r="C2179" s="220"/>
    </row>
    <row r="2180" spans="3:3" ht="19.899999999999999" customHeight="1">
      <c r="C2180" s="220"/>
    </row>
    <row r="2181" spans="3:3" ht="19.899999999999999" customHeight="1">
      <c r="C2181" s="220"/>
    </row>
    <row r="2182" spans="3:3" ht="19.899999999999999" customHeight="1">
      <c r="C2182" s="220"/>
    </row>
    <row r="2183" spans="3:3" ht="19.899999999999999" customHeight="1">
      <c r="C2183" s="220"/>
    </row>
    <row r="2184" spans="3:3" ht="19.899999999999999" customHeight="1">
      <c r="C2184" s="220"/>
    </row>
    <row r="2185" spans="3:3" ht="19.899999999999999" customHeight="1">
      <c r="C2185" s="220"/>
    </row>
    <row r="2186" spans="3:3" ht="19.899999999999999" customHeight="1">
      <c r="C2186" s="220"/>
    </row>
    <row r="2187" spans="3:3" ht="19.899999999999999" customHeight="1">
      <c r="C2187" s="220"/>
    </row>
    <row r="2188" spans="3:3" ht="19.899999999999999" customHeight="1">
      <c r="C2188" s="220"/>
    </row>
    <row r="2189" spans="3:3" ht="19.899999999999999" customHeight="1">
      <c r="C2189" s="220"/>
    </row>
    <row r="2190" spans="3:3" ht="19.899999999999999" customHeight="1">
      <c r="C2190" s="220"/>
    </row>
    <row r="2191" spans="3:3" ht="19.899999999999999" customHeight="1">
      <c r="C2191" s="220"/>
    </row>
    <row r="2192" spans="3:3" ht="19.899999999999999" customHeight="1">
      <c r="C2192" s="220"/>
    </row>
    <row r="2193" spans="3:3" ht="19.899999999999999" customHeight="1">
      <c r="C2193" s="220"/>
    </row>
    <row r="2194" spans="3:3" ht="19.899999999999999" customHeight="1">
      <c r="C2194" s="220"/>
    </row>
    <row r="2195" spans="3:3" ht="19.899999999999999" customHeight="1">
      <c r="C2195" s="220"/>
    </row>
    <row r="2196" spans="3:3" ht="19.899999999999999" customHeight="1">
      <c r="C2196" s="220"/>
    </row>
    <row r="2197" spans="3:3" ht="19.899999999999999" customHeight="1">
      <c r="C2197" s="220"/>
    </row>
    <row r="2198" spans="3:3" ht="19.899999999999999" customHeight="1">
      <c r="C2198" s="220"/>
    </row>
    <row r="2199" spans="3:3" ht="19.899999999999999" customHeight="1">
      <c r="C2199" s="220"/>
    </row>
    <row r="2200" spans="3:3" ht="19.899999999999999" customHeight="1">
      <c r="C2200" s="220"/>
    </row>
    <row r="2201" spans="3:3" ht="19.899999999999999" customHeight="1">
      <c r="C2201" s="220"/>
    </row>
    <row r="2202" spans="3:3" ht="19.899999999999999" customHeight="1">
      <c r="C2202" s="220"/>
    </row>
    <row r="2203" spans="3:3" ht="19.899999999999999" customHeight="1">
      <c r="C2203" s="220"/>
    </row>
    <row r="2204" spans="3:3" ht="19.899999999999999" customHeight="1">
      <c r="C2204" s="220"/>
    </row>
    <row r="2205" spans="3:3" ht="19.899999999999999" customHeight="1">
      <c r="C2205" s="220"/>
    </row>
    <row r="2206" spans="3:3" ht="19.899999999999999" customHeight="1">
      <c r="C2206" s="220"/>
    </row>
    <row r="2207" spans="3:3" ht="19.899999999999999" customHeight="1">
      <c r="C2207" s="220"/>
    </row>
    <row r="2208" spans="3:3" ht="19.899999999999999" customHeight="1">
      <c r="C2208" s="220"/>
    </row>
    <row r="2209" spans="3:3" ht="19.899999999999999" customHeight="1">
      <c r="C2209" s="220"/>
    </row>
    <row r="2210" spans="3:3" ht="19.899999999999999" customHeight="1">
      <c r="C2210" s="220"/>
    </row>
    <row r="2211" spans="3:3" ht="19.899999999999999" customHeight="1">
      <c r="C2211" s="220"/>
    </row>
    <row r="2212" spans="3:3" ht="19.899999999999999" customHeight="1">
      <c r="C2212" s="220"/>
    </row>
    <row r="2213" spans="3:3" ht="19.899999999999999" customHeight="1">
      <c r="C2213" s="220"/>
    </row>
    <row r="2214" spans="3:3" ht="19.899999999999999" customHeight="1">
      <c r="C2214" s="220"/>
    </row>
    <row r="2215" spans="3:3" ht="19.899999999999999" customHeight="1">
      <c r="C2215" s="220"/>
    </row>
    <row r="2216" spans="3:3" ht="19.899999999999999" customHeight="1">
      <c r="C2216" s="220"/>
    </row>
    <row r="2217" spans="3:3" ht="19.899999999999999" customHeight="1">
      <c r="C2217" s="220"/>
    </row>
    <row r="2218" spans="3:3" ht="19.899999999999999" customHeight="1">
      <c r="C2218" s="220"/>
    </row>
    <row r="2219" spans="3:3" ht="19.899999999999999" customHeight="1">
      <c r="C2219" s="220"/>
    </row>
    <row r="2220" spans="3:3" ht="19.899999999999999" customHeight="1">
      <c r="C2220" s="220"/>
    </row>
    <row r="2221" spans="3:3" ht="19.899999999999999" customHeight="1">
      <c r="C2221" s="220"/>
    </row>
    <row r="2222" spans="3:3" ht="19.899999999999999" customHeight="1">
      <c r="C2222" s="220"/>
    </row>
    <row r="2223" spans="3:3" ht="19.899999999999999" customHeight="1">
      <c r="C2223" s="220"/>
    </row>
    <row r="2224" spans="3:3" ht="19.899999999999999" customHeight="1">
      <c r="C2224" s="220"/>
    </row>
    <row r="2225" spans="3:3" ht="19.899999999999999" customHeight="1">
      <c r="C2225" s="220"/>
    </row>
    <row r="2226" spans="3:3" ht="19.899999999999999" customHeight="1">
      <c r="C2226" s="220"/>
    </row>
    <row r="2227" spans="3:3" ht="19.899999999999999" customHeight="1">
      <c r="C2227" s="220"/>
    </row>
    <row r="2228" spans="3:3" ht="19.899999999999999" customHeight="1">
      <c r="C2228" s="220"/>
    </row>
    <row r="2229" spans="3:3" ht="19.899999999999999" customHeight="1">
      <c r="C2229" s="220"/>
    </row>
    <row r="2230" spans="3:3" ht="19.899999999999999" customHeight="1">
      <c r="C2230" s="220"/>
    </row>
    <row r="2231" spans="3:3" ht="19.899999999999999" customHeight="1">
      <c r="C2231" s="220"/>
    </row>
    <row r="2232" spans="3:3" ht="19.899999999999999" customHeight="1">
      <c r="C2232" s="220"/>
    </row>
    <row r="2233" spans="3:3" ht="19.899999999999999" customHeight="1">
      <c r="C2233" s="220"/>
    </row>
    <row r="2234" spans="3:3" ht="19.899999999999999" customHeight="1">
      <c r="C2234" s="220"/>
    </row>
    <row r="2235" spans="3:3" ht="19.899999999999999" customHeight="1">
      <c r="C2235" s="220"/>
    </row>
    <row r="2236" spans="3:3" ht="19.899999999999999" customHeight="1">
      <c r="C2236" s="220"/>
    </row>
    <row r="2237" spans="3:3" ht="19.899999999999999" customHeight="1">
      <c r="C2237" s="220"/>
    </row>
    <row r="2238" spans="3:3" ht="19.899999999999999" customHeight="1">
      <c r="C2238" s="220"/>
    </row>
    <row r="2239" spans="3:3" ht="19.899999999999999" customHeight="1">
      <c r="C2239" s="220"/>
    </row>
    <row r="2240" spans="3:3" ht="19.899999999999999" customHeight="1">
      <c r="C2240" s="220"/>
    </row>
    <row r="2241" spans="3:3" ht="19.899999999999999" customHeight="1">
      <c r="C2241" s="220"/>
    </row>
    <row r="2242" spans="3:3" ht="19.899999999999999" customHeight="1">
      <c r="C2242" s="220"/>
    </row>
    <row r="2243" spans="3:3" ht="19.899999999999999" customHeight="1">
      <c r="C2243" s="220"/>
    </row>
    <row r="2244" spans="3:3" ht="19.899999999999999" customHeight="1">
      <c r="C2244" s="220"/>
    </row>
    <row r="2245" spans="3:3" ht="19.899999999999999" customHeight="1">
      <c r="C2245" s="220"/>
    </row>
    <row r="2246" spans="3:3" ht="19.899999999999999" customHeight="1">
      <c r="C2246" s="220"/>
    </row>
    <row r="2247" spans="3:3" ht="19.899999999999999" customHeight="1">
      <c r="C2247" s="220"/>
    </row>
    <row r="2248" spans="3:3" ht="19.899999999999999" customHeight="1">
      <c r="C2248" s="220"/>
    </row>
    <row r="2249" spans="3:3" ht="19.899999999999999" customHeight="1">
      <c r="C2249" s="220"/>
    </row>
    <row r="2250" spans="3:3" ht="19.899999999999999" customHeight="1">
      <c r="C2250" s="220"/>
    </row>
    <row r="2251" spans="3:3" ht="19.899999999999999" customHeight="1">
      <c r="C2251" s="220"/>
    </row>
    <row r="2252" spans="3:3" ht="19.899999999999999" customHeight="1">
      <c r="C2252" s="220"/>
    </row>
    <row r="2253" spans="3:3" ht="19.899999999999999" customHeight="1">
      <c r="C2253" s="220"/>
    </row>
    <row r="2254" spans="3:3" ht="19.899999999999999" customHeight="1">
      <c r="C2254" s="220"/>
    </row>
    <row r="2255" spans="3:3" ht="19.899999999999999" customHeight="1">
      <c r="C2255" s="220"/>
    </row>
    <row r="2256" spans="3:3" ht="19.899999999999999" customHeight="1">
      <c r="C2256" s="220"/>
    </row>
    <row r="2257" spans="3:3" ht="19.899999999999999" customHeight="1">
      <c r="C2257" s="220"/>
    </row>
    <row r="2258" spans="3:3" ht="19.899999999999999" customHeight="1">
      <c r="C2258" s="220"/>
    </row>
    <row r="2259" spans="3:3" ht="19.899999999999999" customHeight="1">
      <c r="C2259" s="220"/>
    </row>
    <row r="2260" spans="3:3" ht="19.899999999999999" customHeight="1">
      <c r="C2260" s="220"/>
    </row>
    <row r="2261" spans="3:3" ht="19.899999999999999" customHeight="1">
      <c r="C2261" s="220"/>
    </row>
    <row r="2262" spans="3:3" ht="19.899999999999999" customHeight="1">
      <c r="C2262" s="220"/>
    </row>
    <row r="2263" spans="3:3" ht="19.899999999999999" customHeight="1">
      <c r="C2263" s="220"/>
    </row>
    <row r="2264" spans="3:3" ht="19.899999999999999" customHeight="1">
      <c r="C2264" s="220"/>
    </row>
    <row r="2265" spans="3:3" ht="19.899999999999999" customHeight="1">
      <c r="C2265" s="220"/>
    </row>
    <row r="2266" spans="3:3" ht="19.899999999999999" customHeight="1">
      <c r="C2266" s="220"/>
    </row>
    <row r="2267" spans="3:3" ht="19.899999999999999" customHeight="1">
      <c r="C2267" s="220"/>
    </row>
    <row r="2268" spans="3:3" ht="19.899999999999999" customHeight="1">
      <c r="C2268" s="220"/>
    </row>
    <row r="2269" spans="3:3" ht="19.899999999999999" customHeight="1">
      <c r="C2269" s="220"/>
    </row>
    <row r="2270" spans="3:3" ht="19.899999999999999" customHeight="1">
      <c r="C2270" s="220"/>
    </row>
    <row r="2271" spans="3:3" ht="19.899999999999999" customHeight="1">
      <c r="C2271" s="220"/>
    </row>
    <row r="2272" spans="3:3" ht="19.899999999999999" customHeight="1">
      <c r="C2272" s="220"/>
    </row>
    <row r="2273" spans="3:3" ht="19.899999999999999" customHeight="1">
      <c r="C2273" s="220"/>
    </row>
    <row r="2274" spans="3:3" ht="19.899999999999999" customHeight="1">
      <c r="C2274" s="220"/>
    </row>
    <row r="2275" spans="3:3" ht="19.899999999999999" customHeight="1">
      <c r="C2275" s="220"/>
    </row>
    <row r="2276" spans="3:3" ht="19.899999999999999" customHeight="1">
      <c r="C2276" s="220"/>
    </row>
    <row r="2277" spans="3:3" ht="19.899999999999999" customHeight="1">
      <c r="C2277" s="220"/>
    </row>
    <row r="2278" spans="3:3" ht="19.899999999999999" customHeight="1">
      <c r="C2278" s="220"/>
    </row>
    <row r="2279" spans="3:3" ht="19.899999999999999" customHeight="1">
      <c r="C2279" s="220"/>
    </row>
    <row r="2280" spans="3:3" ht="19.899999999999999" customHeight="1">
      <c r="C2280" s="220"/>
    </row>
    <row r="2281" spans="3:3" ht="19.899999999999999" customHeight="1">
      <c r="C2281" s="220"/>
    </row>
    <row r="2282" spans="3:3" ht="19.899999999999999" customHeight="1">
      <c r="C2282" s="220"/>
    </row>
    <row r="2283" spans="3:3" ht="19.899999999999999" customHeight="1">
      <c r="C2283" s="220"/>
    </row>
    <row r="2284" spans="3:3" ht="19.899999999999999" customHeight="1">
      <c r="C2284" s="220"/>
    </row>
    <row r="2285" spans="3:3" ht="19.899999999999999" customHeight="1">
      <c r="C2285" s="220"/>
    </row>
    <row r="2286" spans="3:3" ht="19.899999999999999" customHeight="1">
      <c r="C2286" s="220"/>
    </row>
    <row r="2287" spans="3:3" ht="19.899999999999999" customHeight="1">
      <c r="C2287" s="220"/>
    </row>
    <row r="2288" spans="3:3" ht="19.899999999999999" customHeight="1">
      <c r="C2288" s="220"/>
    </row>
    <row r="2289" spans="3:3" ht="19.899999999999999" customHeight="1">
      <c r="C2289" s="220"/>
    </row>
    <row r="2290" spans="3:3" ht="19.899999999999999" customHeight="1">
      <c r="C2290" s="220"/>
    </row>
    <row r="2291" spans="3:3" ht="19.899999999999999" customHeight="1">
      <c r="C2291" s="220"/>
    </row>
    <row r="2292" spans="3:3" ht="19.899999999999999" customHeight="1">
      <c r="C2292" s="220"/>
    </row>
    <row r="2293" spans="3:3" ht="19.899999999999999" customHeight="1">
      <c r="C2293" s="220"/>
    </row>
    <row r="2294" spans="3:3" ht="19.899999999999999" customHeight="1">
      <c r="C2294" s="220"/>
    </row>
    <row r="2295" spans="3:3" ht="19.899999999999999" customHeight="1">
      <c r="C2295" s="220"/>
    </row>
    <row r="2296" spans="3:3" ht="19.899999999999999" customHeight="1">
      <c r="C2296" s="220"/>
    </row>
    <row r="2297" spans="3:3" ht="19.899999999999999" customHeight="1">
      <c r="C2297" s="220"/>
    </row>
    <row r="2298" spans="3:3" ht="19.899999999999999" customHeight="1">
      <c r="C2298" s="220"/>
    </row>
    <row r="2299" spans="3:3" ht="19.899999999999999" customHeight="1">
      <c r="C2299" s="220"/>
    </row>
    <row r="2300" spans="3:3" ht="19.899999999999999" customHeight="1">
      <c r="C2300" s="220"/>
    </row>
    <row r="2301" spans="3:3" ht="19.899999999999999" customHeight="1">
      <c r="C2301" s="220"/>
    </row>
    <row r="2302" spans="3:3" ht="19.899999999999999" customHeight="1">
      <c r="C2302" s="220"/>
    </row>
    <row r="2303" spans="3:3" ht="19.899999999999999" customHeight="1">
      <c r="C2303" s="220"/>
    </row>
    <row r="2304" spans="3:3" ht="19.899999999999999" customHeight="1">
      <c r="C2304" s="220"/>
    </row>
    <row r="2305" spans="3:3" ht="19.899999999999999" customHeight="1">
      <c r="C2305" s="220"/>
    </row>
    <row r="2306" spans="3:3" ht="19.899999999999999" customHeight="1">
      <c r="C2306" s="220"/>
    </row>
    <row r="2307" spans="3:3" ht="19.899999999999999" customHeight="1">
      <c r="C2307" s="220"/>
    </row>
    <row r="2308" spans="3:3" ht="19.899999999999999" customHeight="1">
      <c r="C2308" s="220"/>
    </row>
    <row r="2309" spans="3:3" ht="19.899999999999999" customHeight="1">
      <c r="C2309" s="220"/>
    </row>
    <row r="2310" spans="3:3" ht="19.899999999999999" customHeight="1">
      <c r="C2310" s="220"/>
    </row>
    <row r="2311" spans="3:3" ht="19.899999999999999" customHeight="1">
      <c r="C2311" s="220"/>
    </row>
    <row r="2312" spans="3:3" ht="19.899999999999999" customHeight="1">
      <c r="C2312" s="220"/>
    </row>
    <row r="2313" spans="3:3" ht="19.899999999999999" customHeight="1">
      <c r="C2313" s="220"/>
    </row>
    <row r="2314" spans="3:3" ht="19.899999999999999" customHeight="1">
      <c r="C2314" s="220"/>
    </row>
    <row r="2315" spans="3:3" ht="19.899999999999999" customHeight="1">
      <c r="C2315" s="220"/>
    </row>
    <row r="2316" spans="3:3" ht="19.899999999999999" customHeight="1">
      <c r="C2316" s="220"/>
    </row>
    <row r="2317" spans="3:3" ht="19.899999999999999" customHeight="1">
      <c r="C2317" s="220"/>
    </row>
    <row r="2318" spans="3:3" ht="19.899999999999999" customHeight="1">
      <c r="C2318" s="220"/>
    </row>
    <row r="2319" spans="3:3" ht="19.899999999999999" customHeight="1">
      <c r="C2319" s="220"/>
    </row>
    <row r="2320" spans="3:3" ht="19.899999999999999" customHeight="1">
      <c r="C2320" s="220"/>
    </row>
    <row r="2321" spans="3:3" ht="19.899999999999999" customHeight="1">
      <c r="C2321" s="220"/>
    </row>
    <row r="2322" spans="3:3" ht="19.899999999999999" customHeight="1">
      <c r="C2322" s="220"/>
    </row>
    <row r="2323" spans="3:3" ht="19.899999999999999" customHeight="1">
      <c r="C2323" s="220"/>
    </row>
    <row r="2324" spans="3:3" ht="19.899999999999999" customHeight="1">
      <c r="C2324" s="220"/>
    </row>
    <row r="2325" spans="3:3" ht="19.899999999999999" customHeight="1">
      <c r="C2325" s="220"/>
    </row>
    <row r="2326" spans="3:3" ht="19.899999999999999" customHeight="1">
      <c r="C2326" s="220"/>
    </row>
    <row r="2327" spans="3:3" ht="19.899999999999999" customHeight="1">
      <c r="C2327" s="220"/>
    </row>
    <row r="2328" spans="3:3" ht="19.899999999999999" customHeight="1">
      <c r="C2328" s="220"/>
    </row>
    <row r="2329" spans="3:3" ht="19.899999999999999" customHeight="1">
      <c r="C2329" s="220"/>
    </row>
    <row r="2330" spans="3:3" ht="19.899999999999999" customHeight="1">
      <c r="C2330" s="220"/>
    </row>
    <row r="2331" spans="3:3" ht="19.899999999999999" customHeight="1">
      <c r="C2331" s="220"/>
    </row>
    <row r="2332" spans="3:3" ht="19.899999999999999" customHeight="1">
      <c r="C2332" s="220"/>
    </row>
    <row r="2333" spans="3:3" ht="19.899999999999999" customHeight="1">
      <c r="C2333" s="220"/>
    </row>
    <row r="2334" spans="3:3" ht="19.899999999999999" customHeight="1">
      <c r="C2334" s="220"/>
    </row>
    <row r="2335" spans="3:3" ht="19.899999999999999" customHeight="1">
      <c r="C2335" s="220"/>
    </row>
    <row r="2336" spans="3:3" ht="19.899999999999999" customHeight="1">
      <c r="C2336" s="220"/>
    </row>
    <row r="2337" spans="3:3" ht="19.899999999999999" customHeight="1">
      <c r="C2337" s="220"/>
    </row>
    <row r="2338" spans="3:3" ht="19.899999999999999" customHeight="1">
      <c r="C2338" s="220"/>
    </row>
    <row r="2339" spans="3:3" ht="19.899999999999999" customHeight="1">
      <c r="C2339" s="220"/>
    </row>
    <row r="2340" spans="3:3" ht="19.899999999999999" customHeight="1">
      <c r="C2340" s="220"/>
    </row>
    <row r="2341" spans="3:3" ht="19.899999999999999" customHeight="1">
      <c r="C2341" s="220"/>
    </row>
    <row r="2342" spans="3:3" ht="19.899999999999999" customHeight="1">
      <c r="C2342" s="220"/>
    </row>
    <row r="2343" spans="3:3" ht="19.899999999999999" customHeight="1">
      <c r="C2343" s="220"/>
    </row>
    <row r="2344" spans="3:3" ht="19.899999999999999" customHeight="1">
      <c r="C2344" s="220"/>
    </row>
    <row r="2345" spans="3:3" ht="19.899999999999999" customHeight="1">
      <c r="C2345" s="220"/>
    </row>
    <row r="2346" spans="3:3" ht="19.899999999999999" customHeight="1">
      <c r="C2346" s="220"/>
    </row>
    <row r="2347" spans="3:3" ht="19.899999999999999" customHeight="1">
      <c r="C2347" s="220"/>
    </row>
    <row r="2348" spans="3:3" ht="19.899999999999999" customHeight="1">
      <c r="C2348" s="220"/>
    </row>
    <row r="2349" spans="3:3" ht="19.899999999999999" customHeight="1">
      <c r="C2349" s="220"/>
    </row>
  </sheetData>
  <sheetProtection algorithmName="SHA-512" hashValue="4qMfGdLDUAKMtntVnGrpgOnhLHTBXq9CKEkbs/PjgoX1AIJQo6gTPOeQez0gPny2xihxcWjxj+fj5CogU50CZQ==" saltValue="t1Kwa+f0guwFTIaLFr+YYA==" spinCount="100000" sheet="1" formatCells="0" formatColumns="0" formatRows="0" deleteRows="0" sort="0" autoFilter="0" pivotTables="0"/>
  <autoFilter ref="N10:R1609" xr:uid="{00000000-0009-0000-0000-000007000000}"/>
  <sortState xmlns:xlrd2="http://schemas.microsoft.com/office/spreadsheetml/2017/richdata2" ref="N11:R1607">
    <sortCondition ref="P11:P1607"/>
    <sortCondition ref="N11:N1607"/>
  </sortState>
  <mergeCells count="22">
    <mergeCell ref="B8:L8"/>
    <mergeCell ref="B1:C1"/>
    <mergeCell ref="D1:D2"/>
    <mergeCell ref="E1:F1"/>
    <mergeCell ref="G1:H1"/>
    <mergeCell ref="I1:J1"/>
    <mergeCell ref="K1:L1"/>
    <mergeCell ref="N1:Q1"/>
    <mergeCell ref="I2:J2"/>
    <mergeCell ref="K2:L2"/>
    <mergeCell ref="N2:O2"/>
    <mergeCell ref="P2:Q2"/>
    <mergeCell ref="H9:H10"/>
    <mergeCell ref="I9:L9"/>
    <mergeCell ref="N9:R9"/>
    <mergeCell ref="T9:V9"/>
    <mergeCell ref="B9:B10"/>
    <mergeCell ref="C9:C10"/>
    <mergeCell ref="D9:D10"/>
    <mergeCell ref="E9:E10"/>
    <mergeCell ref="F9:F10"/>
    <mergeCell ref="G9:G10"/>
  </mergeCells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3"/>
  <dimension ref="A1:M91"/>
  <sheetViews>
    <sheetView showZeros="0" tabSelected="1" view="pageBreakPreview" topLeftCell="A3" zoomScale="85" zoomScaleNormal="70" zoomScaleSheetLayoutView="85" workbookViewId="0">
      <pane ySplit="5" topLeftCell="A8" activePane="bottomLeft" state="frozen"/>
      <selection activeCell="A3" sqref="A3"/>
      <selection pane="bottomLeft" activeCell="K78" sqref="K78"/>
    </sheetView>
  </sheetViews>
  <sheetFormatPr defaultColWidth="0" defaultRowHeight="20.25"/>
  <cols>
    <col min="1" max="1" width="4.7109375" style="182" customWidth="1"/>
    <col min="2" max="2" width="17" style="182" customWidth="1"/>
    <col min="3" max="3" width="35.140625" style="182" customWidth="1"/>
    <col min="4" max="4" width="17.140625" style="182" customWidth="1"/>
    <col min="5" max="6" width="17.85546875" style="182" customWidth="1"/>
    <col min="7" max="7" width="21.28515625" style="182" customWidth="1"/>
    <col min="8" max="8" width="14.140625" style="182" customWidth="1"/>
    <col min="9" max="9" width="17.85546875" style="182" customWidth="1"/>
    <col min="10" max="10" width="16.7109375" style="256" hidden="1" customWidth="1"/>
    <col min="11" max="11" width="17.85546875" style="182" customWidth="1"/>
    <col min="12" max="12" width="24.7109375" style="182" customWidth="1"/>
    <col min="13" max="13" width="21" style="236" customWidth="1"/>
    <col min="14" max="16384" width="0" style="182" hidden="1"/>
  </cols>
  <sheetData>
    <row r="1" spans="1:13" hidden="1"/>
    <row r="2" spans="1:13" hidden="1"/>
    <row r="3" spans="1:13" ht="21" customHeight="1">
      <c r="A3" s="459" t="s">
        <v>370</v>
      </c>
      <c r="B3" s="459"/>
      <c r="C3" s="459"/>
      <c r="D3" s="459"/>
      <c r="E3" s="459"/>
      <c r="F3" s="459"/>
      <c r="G3" s="459"/>
      <c r="H3" s="459"/>
      <c r="I3" s="459"/>
      <c r="J3" s="459"/>
      <c r="K3" s="459"/>
      <c r="L3" s="459"/>
    </row>
    <row r="4" spans="1:13" ht="18.75">
      <c r="A4" s="460" t="s">
        <v>371</v>
      </c>
      <c r="B4" s="460"/>
      <c r="C4" s="460"/>
      <c r="D4" s="460"/>
      <c r="E4" s="460"/>
      <c r="F4" s="460"/>
      <c r="G4" s="460"/>
      <c r="H4" s="460"/>
      <c r="I4" s="460"/>
      <c r="J4" s="460"/>
      <c r="K4" s="460"/>
      <c r="L4" s="460"/>
    </row>
    <row r="5" spans="1:13" ht="4.5" customHeight="1">
      <c r="A5" s="237"/>
      <c r="B5" s="237"/>
      <c r="C5" s="237"/>
      <c r="D5" s="237"/>
      <c r="E5" s="237"/>
      <c r="F5" s="237"/>
      <c r="G5" s="237"/>
      <c r="H5" s="237"/>
      <c r="I5" s="237"/>
      <c r="J5" s="249"/>
      <c r="K5" s="237"/>
      <c r="L5" s="237"/>
    </row>
    <row r="6" spans="1:13" s="286" customFormat="1" ht="24" customHeight="1">
      <c r="A6" s="461" t="s">
        <v>7</v>
      </c>
      <c r="B6" s="461" t="s">
        <v>8</v>
      </c>
      <c r="C6" s="461" t="s">
        <v>36</v>
      </c>
      <c r="D6" s="462" t="s">
        <v>11</v>
      </c>
      <c r="E6" s="464" t="s">
        <v>17</v>
      </c>
      <c r="F6" s="465" t="s">
        <v>9</v>
      </c>
      <c r="G6" s="466"/>
      <c r="H6" s="466"/>
      <c r="I6" s="466"/>
      <c r="J6" s="467" t="s">
        <v>222</v>
      </c>
      <c r="K6" s="462" t="s">
        <v>5</v>
      </c>
      <c r="L6" s="462" t="s">
        <v>163</v>
      </c>
      <c r="M6" s="238"/>
    </row>
    <row r="7" spans="1:13" s="286" customFormat="1" ht="48" customHeight="1">
      <c r="A7" s="461"/>
      <c r="B7" s="461"/>
      <c r="C7" s="461"/>
      <c r="D7" s="463"/>
      <c r="E7" s="464"/>
      <c r="F7" s="239" t="s">
        <v>223</v>
      </c>
      <c r="G7" s="239" t="s">
        <v>314</v>
      </c>
      <c r="H7" s="239" t="s">
        <v>34</v>
      </c>
      <c r="I7" s="240" t="s">
        <v>69</v>
      </c>
      <c r="J7" s="467"/>
      <c r="K7" s="463"/>
      <c r="L7" s="463"/>
      <c r="M7" s="238"/>
    </row>
    <row r="8" spans="1:13" s="256" customFormat="1" ht="33.75" customHeight="1">
      <c r="A8" s="241">
        <f>'Danh muc'!A8</f>
        <v>1</v>
      </c>
      <c r="B8" s="241">
        <f>'Danh muc'!B8</f>
        <v>15110600</v>
      </c>
      <c r="C8" s="242" t="str">
        <f>'Danh muc'!C8</f>
        <v>Nguyễn Được Thưởng</v>
      </c>
      <c r="D8" s="242" t="str">
        <f>'Danh muc'!E8</f>
        <v>Quản lý sản xuất</v>
      </c>
      <c r="E8" s="243">
        <f>'Bảng tính toán'!BO8</f>
        <v>7779034.6907993974</v>
      </c>
      <c r="F8" s="244">
        <f>'Bảng tính toán'!BP8</f>
        <v>1365000</v>
      </c>
      <c r="G8" s="244">
        <f>'Bảng tính toán'!BT8</f>
        <v>65000</v>
      </c>
      <c r="H8" s="243">
        <f>'Bảng tính toán'!BR8</f>
        <v>0</v>
      </c>
      <c r="I8" s="244">
        <f>'Bảng tính toán'!CD8</f>
        <v>0</v>
      </c>
      <c r="J8" s="244">
        <f>'Bảng tính toán'!BM8</f>
        <v>0</v>
      </c>
      <c r="K8" s="243">
        <f>'Bảng tính toán'!CF8</f>
        <v>6349000</v>
      </c>
      <c r="L8" s="243" t="str">
        <f>'Danh muc'!F8</f>
        <v>3845 966 223</v>
      </c>
      <c r="M8" s="245"/>
    </row>
    <row r="9" spans="1:13" s="256" customFormat="1" ht="33.75" customHeight="1">
      <c r="A9" s="241">
        <f>'Danh muc'!A9</f>
        <v>2</v>
      </c>
      <c r="B9" s="241">
        <f>'Danh muc'!B9</f>
        <v>20122900</v>
      </c>
      <c r="C9" s="242" t="str">
        <f>'Danh muc'!C9</f>
        <v>Nguyễn Thị Liến</v>
      </c>
      <c r="D9" s="242" t="str">
        <f>'Danh muc'!E9</f>
        <v>Mua hàng</v>
      </c>
      <c r="E9" s="243">
        <f>'Bảng tính toán'!BO9</f>
        <v>3217948.717948718</v>
      </c>
      <c r="F9" s="244">
        <f>'Bảng tính toán'!BP9</f>
        <v>892500</v>
      </c>
      <c r="G9" s="244">
        <f>'Bảng tính toán'!BT9</f>
        <v>42500</v>
      </c>
      <c r="H9" s="243">
        <f>'Bảng tính toán'!BR9</f>
        <v>0</v>
      </c>
      <c r="I9" s="244">
        <f>'Bảng tính toán'!CD9</f>
        <v>0</v>
      </c>
      <c r="J9" s="244">
        <f>'Bảng tính toán'!BM9</f>
        <v>0</v>
      </c>
      <c r="K9" s="243">
        <f>'Bảng tính toán'!CF9</f>
        <v>2282000</v>
      </c>
      <c r="L9" s="243" t="str">
        <f>'Danh muc'!F9</f>
        <v>7965 354 745</v>
      </c>
      <c r="M9" s="245"/>
    </row>
    <row r="10" spans="1:13" s="245" customFormat="1" ht="33.75" customHeight="1">
      <c r="A10" s="241">
        <f>'Danh muc'!A10</f>
        <v>3</v>
      </c>
      <c r="B10" s="241">
        <f>'Danh muc'!B10</f>
        <v>20020700</v>
      </c>
      <c r="C10" s="242" t="str">
        <f>'Danh muc'!C10</f>
        <v>Phan Hiệp Thành Danh</v>
      </c>
      <c r="D10" s="242" t="str">
        <f>'Danh muc'!E10</f>
        <v>Kho</v>
      </c>
      <c r="E10" s="243">
        <f>'Bảng tính toán'!BO10</f>
        <v>2910256.4102564105</v>
      </c>
      <c r="F10" s="244">
        <f>'Bảng tính toán'!BP10</f>
        <v>892500</v>
      </c>
      <c r="G10" s="244">
        <f>'Bảng tính toán'!BT10</f>
        <v>42500</v>
      </c>
      <c r="H10" s="243">
        <f>'Bảng tính toán'!BR10</f>
        <v>0</v>
      </c>
      <c r="I10" s="244">
        <f>'Bảng tính toán'!CD10</f>
        <v>0</v>
      </c>
      <c r="J10" s="244">
        <f>'Bảng tính toán'!BM10</f>
        <v>0</v>
      </c>
      <c r="K10" s="243">
        <f>'Bảng tính toán'!CF10</f>
        <v>1975000</v>
      </c>
      <c r="L10" s="243" t="str">
        <f>'Danh muc'!F10</f>
        <v>0181 002 843 297</v>
      </c>
    </row>
    <row r="11" spans="1:13" s="256" customFormat="1" ht="33.75" customHeight="1">
      <c r="A11" s="241">
        <f>'Danh muc'!A11</f>
        <v>4</v>
      </c>
      <c r="B11" s="241">
        <f>'Danh muc'!B11</f>
        <v>19010300</v>
      </c>
      <c r="C11" s="242" t="str">
        <f>'Danh muc'!C11</f>
        <v>Phan Thành Triệu</v>
      </c>
      <c r="D11" s="242" t="str">
        <f>'Danh muc'!E11</f>
        <v>Kỹ thuật</v>
      </c>
      <c r="E11" s="243">
        <f>'Bảng tính toán'!BO11</f>
        <v>3217948.717948718</v>
      </c>
      <c r="F11" s="244">
        <f>'Bảng tính toán'!BP11</f>
        <v>892500</v>
      </c>
      <c r="G11" s="244">
        <f>'Bảng tính toán'!BT11</f>
        <v>42500</v>
      </c>
      <c r="H11" s="243">
        <f>'Bảng tính toán'!BR11</f>
        <v>0</v>
      </c>
      <c r="I11" s="244">
        <f>'Bảng tính toán'!CD11</f>
        <v>0</v>
      </c>
      <c r="J11" s="244">
        <f>'Bảng tính toán'!BM11</f>
        <v>0</v>
      </c>
      <c r="K11" s="243">
        <f>'Bảng tính toán'!CF11</f>
        <v>2282000</v>
      </c>
      <c r="L11" s="243" t="str">
        <f>'Danh muc'!F11</f>
        <v>1016 260 227</v>
      </c>
      <c r="M11" s="245"/>
    </row>
    <row r="12" spans="1:13" s="256" customFormat="1" ht="33.75" customHeight="1">
      <c r="A12" s="241">
        <f>'Danh muc'!A12</f>
        <v>5</v>
      </c>
      <c r="B12" s="241">
        <f>'Danh muc'!B12</f>
        <v>18010900</v>
      </c>
      <c r="C12" s="242" t="str">
        <f>'Danh muc'!C12</f>
        <v>Lê Đức Trọng</v>
      </c>
      <c r="D12" s="242" t="str">
        <f>'Danh muc'!E12</f>
        <v>Khuôn</v>
      </c>
      <c r="E12" s="243">
        <f>'Bảng tính toán'!BO12</f>
        <v>4430618.4012066368</v>
      </c>
      <c r="F12" s="244">
        <f>'Bảng tính toán'!BP12</f>
        <v>1050000</v>
      </c>
      <c r="G12" s="244">
        <f>'Bảng tính toán'!BT12</f>
        <v>50000</v>
      </c>
      <c r="H12" s="243">
        <f>'Bảng tính toán'!BR12</f>
        <v>0</v>
      </c>
      <c r="I12" s="244">
        <f>'Bảng tính toán'!CD12</f>
        <v>0</v>
      </c>
      <c r="J12" s="244">
        <f>'Bảng tính toán'!BM12</f>
        <v>0</v>
      </c>
      <c r="K12" s="243">
        <f>'Bảng tính toán'!CF12</f>
        <v>3330000</v>
      </c>
      <c r="L12" s="243" t="str">
        <f>'Danh muc'!F12</f>
        <v>3397 286 876</v>
      </c>
      <c r="M12" s="245"/>
    </row>
    <row r="13" spans="1:13" s="256" customFormat="1" ht="33.75" customHeight="1">
      <c r="A13" s="241">
        <f>'Danh muc'!A13</f>
        <v>6</v>
      </c>
      <c r="B13" s="241">
        <f>'Danh muc'!B13</f>
        <v>19010400</v>
      </c>
      <c r="C13" s="242" t="str">
        <f>'Danh muc'!C13</f>
        <v>Võ Duy Thanh</v>
      </c>
      <c r="D13" s="242" t="str">
        <f>'Danh muc'!E13</f>
        <v>QA</v>
      </c>
      <c r="E13" s="243">
        <f>'Bảng tính toán'!BO13</f>
        <v>3217948.717948718</v>
      </c>
      <c r="F13" s="244">
        <f>'Bảng tính toán'!BP13</f>
        <v>892500</v>
      </c>
      <c r="G13" s="244">
        <f>'Bảng tính toán'!BT13</f>
        <v>42500</v>
      </c>
      <c r="H13" s="243">
        <f>'Bảng tính toán'!BR13</f>
        <v>0</v>
      </c>
      <c r="I13" s="244">
        <f>'Bảng tính toán'!CD13</f>
        <v>0</v>
      </c>
      <c r="J13" s="244">
        <f>'Bảng tính toán'!BM13</f>
        <v>0</v>
      </c>
      <c r="K13" s="243">
        <f>'Bảng tính toán'!CF13</f>
        <v>2282000</v>
      </c>
      <c r="L13" s="243" t="str">
        <f>'Danh muc'!F13</f>
        <v>1015 955 827</v>
      </c>
      <c r="M13" s="245"/>
    </row>
    <row r="14" spans="1:13" s="256" customFormat="1" ht="33.75" customHeight="1">
      <c r="A14" s="241">
        <f>'Danh muc'!A14</f>
        <v>7</v>
      </c>
      <c r="B14" s="241">
        <f>'Danh muc'!B14</f>
        <v>17030500</v>
      </c>
      <c r="C14" s="242" t="str">
        <f>'Danh muc'!C14</f>
        <v>Lê Thành Trung</v>
      </c>
      <c r="D14" s="242" t="str">
        <f>'Danh muc'!E14</f>
        <v>Bảo trì</v>
      </c>
      <c r="E14" s="243">
        <f>'Bảng tính toán'!BO14</f>
        <v>4352187.028657617</v>
      </c>
      <c r="F14" s="244">
        <f>'Bảng tính toán'!BP14</f>
        <v>840000</v>
      </c>
      <c r="G14" s="244">
        <f>'Bảng tính toán'!BT14</f>
        <v>40000</v>
      </c>
      <c r="H14" s="243">
        <f>'Bảng tính toán'!BR14</f>
        <v>0</v>
      </c>
      <c r="I14" s="244">
        <f>'Bảng tính toán'!CD14</f>
        <v>0</v>
      </c>
      <c r="J14" s="244">
        <f>'Bảng tính toán'!BM14</f>
        <v>0</v>
      </c>
      <c r="K14" s="243">
        <f>'Bảng tính toán'!CF14</f>
        <v>3472000</v>
      </c>
      <c r="L14" s="243" t="str">
        <f>'Danh muc'!F14</f>
        <v>7902 685 401</v>
      </c>
      <c r="M14" s="245"/>
    </row>
    <row r="15" spans="1:13" s="256" customFormat="1" ht="33.75" customHeight="1">
      <c r="A15" s="241">
        <f>'Danh muc'!A15</f>
        <v>8</v>
      </c>
      <c r="B15" s="241">
        <f>'Danh muc'!B15</f>
        <v>22042200</v>
      </c>
      <c r="C15" s="242" t="str">
        <f>'Danh muc'!C15</f>
        <v>Nguyễn Tấn Nghĩa</v>
      </c>
      <c r="D15" s="242" t="str">
        <f>'Danh muc'!E15</f>
        <v>Bảo trì</v>
      </c>
      <c r="E15" s="243">
        <f>'Bảng tính toán'!BO15</f>
        <v>3466817.4962292607</v>
      </c>
      <c r="F15" s="244">
        <f>'Bảng tính toán'!BP15</f>
        <v>735000</v>
      </c>
      <c r="G15" s="244">
        <f>'Bảng tính toán'!BT15</f>
        <v>35000</v>
      </c>
      <c r="H15" s="243">
        <f>'Bảng tính toán'!BR15</f>
        <v>0</v>
      </c>
      <c r="I15" s="244">
        <f>'Bảng tính toán'!CD15</f>
        <v>0</v>
      </c>
      <c r="J15" s="244">
        <f>'Bảng tính toán'!BM15</f>
        <v>0</v>
      </c>
      <c r="K15" s="243">
        <f>'Bảng tính toán'!CF15</f>
        <v>2696000</v>
      </c>
      <c r="L15" s="243" t="str">
        <f>'Danh muc'!F15</f>
        <v>1906 627 655</v>
      </c>
      <c r="M15" s="245"/>
    </row>
    <row r="16" spans="1:13" s="256" customFormat="1" ht="33.75" customHeight="1">
      <c r="A16" s="241">
        <f>'Danh muc'!A16</f>
        <v>9</v>
      </c>
      <c r="B16" s="241">
        <f>'Danh muc'!B16</f>
        <v>20102800</v>
      </c>
      <c r="C16" s="242" t="str">
        <f>'Danh muc'!C16</f>
        <v>Nguyễn Thùy Trang</v>
      </c>
      <c r="D16" s="242" t="str">
        <f>'Danh muc'!E16</f>
        <v>QC</v>
      </c>
      <c r="E16" s="243">
        <f>'Bảng tính toán'!BO16</f>
        <v>2564856.7119155359</v>
      </c>
      <c r="F16" s="244">
        <f>'Bảng tính toán'!BP16</f>
        <v>997500</v>
      </c>
      <c r="G16" s="244">
        <f>'Bảng tính toán'!BT16</f>
        <v>47500</v>
      </c>
      <c r="H16" s="243">
        <f>'Bảng tính toán'!BR16</f>
        <v>0</v>
      </c>
      <c r="I16" s="244">
        <f>'Bảng tính toán'!CD16</f>
        <v>0</v>
      </c>
      <c r="J16" s="244">
        <f>'Bảng tính toán'!BM16</f>
        <v>0</v>
      </c>
      <c r="K16" s="243">
        <f>'Bảng tính toán'!CF16</f>
        <v>1519000</v>
      </c>
      <c r="L16" s="243" t="str">
        <f>'Danh muc'!F16</f>
        <v>3938 241 349</v>
      </c>
      <c r="M16" s="245"/>
    </row>
    <row r="17" spans="1:13" s="256" customFormat="1" ht="33.75" customHeight="1">
      <c r="A17" s="241">
        <f>'Danh muc'!A17</f>
        <v>10</v>
      </c>
      <c r="B17" s="241">
        <f>'Danh muc'!B17</f>
        <v>17031400</v>
      </c>
      <c r="C17" s="242" t="str">
        <f>'Danh muc'!C17</f>
        <v>Huỳnh Văn Thanh</v>
      </c>
      <c r="D17" s="242" t="str">
        <f>'Danh muc'!E17</f>
        <v>Văn phòng</v>
      </c>
      <c r="E17" s="243">
        <f>'Bảng tính toán'!BO17</f>
        <v>2987179.4871794875</v>
      </c>
      <c r="F17" s="244">
        <f>'Bảng tính toán'!BP17</f>
        <v>892500</v>
      </c>
      <c r="G17" s="244">
        <f>'Bảng tính toán'!BT17</f>
        <v>42500</v>
      </c>
      <c r="H17" s="243">
        <f>'Bảng tính toán'!BR17</f>
        <v>0</v>
      </c>
      <c r="I17" s="244">
        <f>'Bảng tính toán'!CD17</f>
        <v>0</v>
      </c>
      <c r="J17" s="244">
        <f>'Bảng tính toán'!BM17</f>
        <v>0</v>
      </c>
      <c r="K17" s="243">
        <f>'Bảng tính toán'!CF17</f>
        <v>2052000</v>
      </c>
      <c r="L17" s="243" t="str">
        <f>'Danh muc'!F17</f>
        <v>9932 473 273</v>
      </c>
      <c r="M17" s="245"/>
    </row>
    <row r="18" spans="1:13" s="245" customFormat="1" ht="33.75" customHeight="1">
      <c r="A18" s="241">
        <f>'Danh muc'!A18</f>
        <v>11</v>
      </c>
      <c r="B18" s="241">
        <f>'Danh muc'!B18</f>
        <v>20050400</v>
      </c>
      <c r="C18" s="242" t="str">
        <f>'Danh muc'!C18</f>
        <v>Trần Phi Long</v>
      </c>
      <c r="D18" s="242" t="str">
        <f>'Danh muc'!E18</f>
        <v>Khuôn</v>
      </c>
      <c r="E18" s="243">
        <f>'Bảng tính toán'!BO18</f>
        <v>1634615.3846153847</v>
      </c>
      <c r="F18" s="244">
        <f>'Bảng tính toán'!BP18</f>
        <v>787500</v>
      </c>
      <c r="G18" s="244">
        <f>'Bảng tính toán'!BT18</f>
        <v>37500</v>
      </c>
      <c r="H18" s="243">
        <f>'Bảng tính toán'!BR18</f>
        <v>0</v>
      </c>
      <c r="I18" s="244">
        <f>'Bảng tính toán'!CD18</f>
        <v>0</v>
      </c>
      <c r="J18" s="244">
        <f>'Bảng tính toán'!BM18</f>
        <v>0</v>
      </c>
      <c r="K18" s="243">
        <f>'Bảng tính toán'!CF18</f>
        <v>809000</v>
      </c>
      <c r="L18" s="243" t="str">
        <f>'Danh muc'!F18</f>
        <v>7963 672 389</v>
      </c>
    </row>
    <row r="19" spans="1:13" s="256" customFormat="1" ht="33.75" customHeight="1">
      <c r="A19" s="241">
        <f>'Danh muc'!A19</f>
        <v>12</v>
      </c>
      <c r="B19" s="241">
        <f>'Danh muc'!B19</f>
        <v>24050201</v>
      </c>
      <c r="C19" s="242" t="str">
        <f>'Danh muc'!C19</f>
        <v>Nguyễn Hữu Huynh</v>
      </c>
      <c r="D19" s="242" t="str">
        <f>'Danh muc'!E19</f>
        <v>Khuôn</v>
      </c>
      <c r="E19" s="243">
        <f>'Bảng tính toán'!BO19</f>
        <v>1807692.3076923077</v>
      </c>
      <c r="F19" s="244">
        <f>'Bảng tính toán'!BP19</f>
        <v>630000</v>
      </c>
      <c r="G19" s="244">
        <f>'Bảng tính toán'!BT19</f>
        <v>30000</v>
      </c>
      <c r="H19" s="243">
        <f>'Bảng tính toán'!BR19</f>
        <v>0</v>
      </c>
      <c r="I19" s="244">
        <f>'Bảng tính toán'!CD19</f>
        <v>0</v>
      </c>
      <c r="J19" s="244">
        <f>'Bảng tính toán'!BM19</f>
        <v>0</v>
      </c>
      <c r="K19" s="243">
        <f>'Bảng tính toán'!CF19</f>
        <v>1147000</v>
      </c>
      <c r="L19" s="243" t="str">
        <f>'Danh muc'!F19</f>
        <v>104 980 9976</v>
      </c>
      <c r="M19" s="245"/>
    </row>
    <row r="20" spans="1:13" s="245" customFormat="1" ht="33.75" customHeight="1">
      <c r="A20" s="241">
        <f>'Danh muc'!A20</f>
        <v>13</v>
      </c>
      <c r="B20" s="241">
        <f>'Danh muc'!B20</f>
        <v>16120600</v>
      </c>
      <c r="C20" s="242" t="str">
        <f>'Danh muc'!C20</f>
        <v>Nguyễn Văn Nhường</v>
      </c>
      <c r="D20" s="242" t="str">
        <f>'Danh muc'!E20</f>
        <v>Bảo trì</v>
      </c>
      <c r="E20" s="243">
        <f>'Bảng tính toán'!BO20</f>
        <v>2026923.076923077</v>
      </c>
      <c r="F20" s="308">
        <f>'Bảng tính toán'!BP20</f>
        <v>598500</v>
      </c>
      <c r="G20" s="244">
        <f>'Bảng tính toán'!BT20</f>
        <v>28500</v>
      </c>
      <c r="H20" s="243">
        <f>'Bảng tính toán'!BR20</f>
        <v>0</v>
      </c>
      <c r="I20" s="244">
        <f>'Bảng tính toán'!CD20</f>
        <v>0</v>
      </c>
      <c r="J20" s="244">
        <f>'Bảng tính toán'!BM20</f>
        <v>0</v>
      </c>
      <c r="K20" s="243">
        <f>'Bảng tính toán'!CF20</f>
        <v>1399000</v>
      </c>
      <c r="L20" s="243" t="str">
        <f>'Danh muc'!F20</f>
        <v>7794 343 380</v>
      </c>
    </row>
    <row r="21" spans="1:13" s="245" customFormat="1" ht="33.75" customHeight="1">
      <c r="A21" s="241">
        <f>'Danh muc'!A21</f>
        <v>14</v>
      </c>
      <c r="B21" s="241">
        <f>'Danh muc'!B21</f>
        <v>24021900</v>
      </c>
      <c r="C21" s="242" t="str">
        <f>'Danh muc'!C21</f>
        <v>Nguyễn Bảo Toàn</v>
      </c>
      <c r="D21" s="242" t="str">
        <f>'Danh muc'!E21</f>
        <v>Kho</v>
      </c>
      <c r="E21" s="243">
        <f>'Bảng tính toán'!BO21</f>
        <v>2192307.6923076925</v>
      </c>
      <c r="F21" s="244">
        <f>'Bảng tính toán'!BP21</f>
        <v>630000</v>
      </c>
      <c r="G21" s="244">
        <f>'Bảng tính toán'!BT21</f>
        <v>30000</v>
      </c>
      <c r="H21" s="243">
        <f>'Bảng tính toán'!BR21</f>
        <v>0</v>
      </c>
      <c r="I21" s="244">
        <f>'Bảng tính toán'!CD21</f>
        <v>0</v>
      </c>
      <c r="J21" s="244">
        <f>'Bảng tính toán'!BM21</f>
        <v>0</v>
      </c>
      <c r="K21" s="243">
        <f>'Bảng tính toán'!CF21</f>
        <v>1532000</v>
      </c>
      <c r="L21" s="243" t="str">
        <f>'Danh muc'!F21</f>
        <v>104 980 3572</v>
      </c>
    </row>
    <row r="22" spans="1:13" s="245" customFormat="1" ht="33.75" customHeight="1">
      <c r="A22" s="241">
        <f>'Danh muc'!A22</f>
        <v>15</v>
      </c>
      <c r="B22" s="241">
        <f>'Danh muc'!B22</f>
        <v>22022200</v>
      </c>
      <c r="C22" s="242" t="str">
        <f>'Danh muc'!C22</f>
        <v>Võ Minh Hiếu</v>
      </c>
      <c r="D22" s="242" t="str">
        <f>'Danh muc'!E22</f>
        <v>Kho</v>
      </c>
      <c r="E22" s="243">
        <f>'Bảng tính toán'!BO22</f>
        <v>1784615.3846153845</v>
      </c>
      <c r="F22" s="244">
        <f>'Bảng tính toán'!BP22</f>
        <v>640500</v>
      </c>
      <c r="G22" s="244">
        <f>'Bảng tính toán'!BT22</f>
        <v>30500</v>
      </c>
      <c r="H22" s="243">
        <f>'Bảng tính toán'!BR22</f>
        <v>0</v>
      </c>
      <c r="I22" s="244">
        <f>'Bảng tính toán'!CD22</f>
        <v>0</v>
      </c>
      <c r="J22" s="244">
        <f>'Bảng tính toán'!BM22</f>
        <v>0</v>
      </c>
      <c r="K22" s="243">
        <f>'Bảng tính toán'!CF22</f>
        <v>1113000</v>
      </c>
      <c r="L22" s="243" t="str">
        <f>'Danh muc'!F22</f>
        <v>0281 000 374 375</v>
      </c>
    </row>
    <row r="23" spans="1:13" s="245" customFormat="1" ht="33.75" customHeight="1">
      <c r="A23" s="241">
        <f>'Danh muc'!A23</f>
        <v>16</v>
      </c>
      <c r="B23" s="241">
        <f>'Danh muc'!B23</f>
        <v>24111800</v>
      </c>
      <c r="C23" s="242" t="str">
        <f>'Danh muc'!C23</f>
        <v>Hồ Ngọc Quế Trinh</v>
      </c>
      <c r="D23" s="242" t="str">
        <f>'Danh muc'!E23</f>
        <v>QC</v>
      </c>
      <c r="E23" s="243">
        <f>'Bảng tính toán'!BO23</f>
        <v>1576923.076923077</v>
      </c>
      <c r="F23" s="244">
        <f>'Bảng tính toán'!BP23</f>
        <v>630000</v>
      </c>
      <c r="G23" s="244">
        <f>'Bảng tính toán'!BT23</f>
        <v>30000</v>
      </c>
      <c r="H23" s="243">
        <f>'Bảng tính toán'!BR23</f>
        <v>0</v>
      </c>
      <c r="I23" s="244">
        <f>'Bảng tính toán'!CD23</f>
        <v>0</v>
      </c>
      <c r="J23" s="244">
        <f>'Bảng tính toán'!BM23</f>
        <v>0</v>
      </c>
      <c r="K23" s="243">
        <f>'Bảng tính toán'!CF23</f>
        <v>916000</v>
      </c>
      <c r="L23" s="243" t="str">
        <f>'Danh muc'!F23</f>
        <v>000 105 764 1822</v>
      </c>
    </row>
    <row r="24" spans="1:13" s="245" customFormat="1" ht="33.75" customHeight="1">
      <c r="A24" s="241">
        <f>'Danh muc'!A24</f>
        <v>17</v>
      </c>
      <c r="B24" s="241">
        <f>'Danh muc'!B24</f>
        <v>24030400</v>
      </c>
      <c r="C24" s="242" t="str">
        <f>'Danh muc'!C24</f>
        <v>Ngô Dương Thùy Trang</v>
      </c>
      <c r="D24" s="242" t="str">
        <f>'Danh muc'!E24</f>
        <v>QA</v>
      </c>
      <c r="E24" s="243">
        <f>'Bảng tính toán'!BO24</f>
        <v>1123076.923076923</v>
      </c>
      <c r="F24" s="308">
        <f>'Bảng tính toán'!BP24</f>
        <v>651000</v>
      </c>
      <c r="G24" s="308">
        <f>'Bảng tính toán'!BT24</f>
        <v>31000</v>
      </c>
      <c r="H24" s="243">
        <f>'Bảng tính toán'!BR24</f>
        <v>0</v>
      </c>
      <c r="I24" s="244">
        <f>'Bảng tính toán'!CD24</f>
        <v>0</v>
      </c>
      <c r="J24" s="244">
        <f>'Bảng tính toán'!BM24</f>
        <v>0</v>
      </c>
      <c r="K24" s="243">
        <f>'Bảng tính toán'!CF24</f>
        <v>441000</v>
      </c>
      <c r="L24" s="243" t="str">
        <f>'Danh muc'!F24</f>
        <v>0511 000 468 377</v>
      </c>
    </row>
    <row r="25" spans="1:13" s="245" customFormat="1" ht="33.75" customHeight="1">
      <c r="A25" s="241">
        <f>'Danh muc'!A25</f>
        <v>18</v>
      </c>
      <c r="B25" s="241">
        <f>'Danh muc'!B25</f>
        <v>21120700</v>
      </c>
      <c r="C25" s="294" t="str">
        <f>'Danh muc'!C25</f>
        <v>Phan Thị Ngọc Hân</v>
      </c>
      <c r="D25" s="242" t="str">
        <f>'Danh muc'!E25</f>
        <v>QA</v>
      </c>
      <c r="E25" s="243">
        <f>'Bảng tính toán'!BO25</f>
        <v>1392307.6923076925</v>
      </c>
      <c r="F25" s="244">
        <f>'Bảng tính toán'!BP25</f>
        <v>651000</v>
      </c>
      <c r="G25" s="244">
        <f>'Bảng tính toán'!BT25</f>
        <v>31000</v>
      </c>
      <c r="H25" s="243">
        <f>'Bảng tính toán'!BR25</f>
        <v>0</v>
      </c>
      <c r="I25" s="244">
        <f>'Bảng tính toán'!CD25</f>
        <v>0</v>
      </c>
      <c r="J25" s="244">
        <f>'Bảng tính toán'!BM25</f>
        <v>0</v>
      </c>
      <c r="K25" s="243">
        <f>'Bảng tính toán'!CF25</f>
        <v>710000</v>
      </c>
      <c r="L25" s="243" t="str">
        <f>'Danh muc'!F25</f>
        <v>3328 047 901</v>
      </c>
    </row>
    <row r="26" spans="1:13" s="245" customFormat="1" ht="33.75" customHeight="1">
      <c r="A26" s="241">
        <f>'Danh muc'!A26</f>
        <v>19</v>
      </c>
      <c r="B26" s="241">
        <f>'Danh muc'!B26</f>
        <v>20040800</v>
      </c>
      <c r="C26" s="242" t="str">
        <f>'Danh muc'!C26</f>
        <v>Nguyễn Thị Huế Trân</v>
      </c>
      <c r="D26" s="242" t="str">
        <f>'Danh muc'!E26</f>
        <v>Ngoại Quan</v>
      </c>
      <c r="E26" s="243">
        <f>'Bảng tính toán'!BO26</f>
        <v>1288461.5384615385</v>
      </c>
      <c r="F26" s="244">
        <f>'Bảng tính toán'!BP26</f>
        <v>682500</v>
      </c>
      <c r="G26" s="244">
        <f>'Bảng tính toán'!BT26</f>
        <v>32500</v>
      </c>
      <c r="H26" s="243">
        <f>'Bảng tính toán'!BR26</f>
        <v>0</v>
      </c>
      <c r="I26" s="244">
        <f>'Bảng tính toán'!CD26</f>
        <v>0</v>
      </c>
      <c r="J26" s="244">
        <f>'Bảng tính toán'!BM26</f>
        <v>0</v>
      </c>
      <c r="K26" s="243">
        <f>'Bảng tính toán'!CF26</f>
        <v>573000</v>
      </c>
      <c r="L26" s="243" t="str">
        <f>'Danh muc'!F26</f>
        <v>3356 952 051</v>
      </c>
    </row>
    <row r="27" spans="1:13" s="245" customFormat="1" ht="33.75" customHeight="1">
      <c r="A27" s="241">
        <f>'Danh muc'!A27</f>
        <v>20</v>
      </c>
      <c r="B27" s="241">
        <f>'Danh muc'!B27</f>
        <v>19010800</v>
      </c>
      <c r="C27" s="294" t="str">
        <f>'Danh muc'!C27</f>
        <v>Nguyễn Thị Bé Năm</v>
      </c>
      <c r="D27" s="242" t="str">
        <f>'Danh muc'!E27</f>
        <v>Ngoại Quan</v>
      </c>
      <c r="E27" s="243">
        <f>'Bảng tính toán'!BO27</f>
        <v>1211538.4615384615</v>
      </c>
      <c r="F27" s="244">
        <f>'Bảng tính toán'!BP27</f>
        <v>682500</v>
      </c>
      <c r="G27" s="244">
        <f>'Bảng tính toán'!BT27</f>
        <v>32500</v>
      </c>
      <c r="H27" s="243">
        <f>'Bảng tính toán'!BR27</f>
        <v>0</v>
      </c>
      <c r="I27" s="244">
        <f>'Bảng tính toán'!CD27</f>
        <v>0</v>
      </c>
      <c r="J27" s="244">
        <f>'Bảng tính toán'!BM27</f>
        <v>0</v>
      </c>
      <c r="K27" s="243">
        <f>'Bảng tính toán'!CF27</f>
        <v>496000</v>
      </c>
      <c r="L27" s="243" t="str">
        <f>'Danh muc'!F27</f>
        <v>7814 103 927</v>
      </c>
    </row>
    <row r="28" spans="1:13" s="245" customFormat="1" ht="33.75" customHeight="1">
      <c r="A28" s="241">
        <f>'Danh muc'!A28</f>
        <v>21</v>
      </c>
      <c r="B28" s="241">
        <f>'Danh muc'!B28</f>
        <v>19020100</v>
      </c>
      <c r="C28" s="294" t="str">
        <f>'Danh muc'!C28</f>
        <v>Nguyễn Thị Sang</v>
      </c>
      <c r="D28" s="242" t="str">
        <f>'Danh muc'!E28</f>
        <v>Ngoại Quan</v>
      </c>
      <c r="E28" s="243">
        <f>'Bảng tính toán'!BO28</f>
        <v>1211538.4615384615</v>
      </c>
      <c r="F28" s="244">
        <f>'Bảng tính toán'!BP28</f>
        <v>682500</v>
      </c>
      <c r="G28" s="244">
        <f>'Bảng tính toán'!BT28</f>
        <v>32500</v>
      </c>
      <c r="H28" s="243">
        <f>'Bảng tính toán'!BR28</f>
        <v>0</v>
      </c>
      <c r="I28" s="244">
        <f>'Bảng tính toán'!CD28</f>
        <v>0</v>
      </c>
      <c r="J28" s="244">
        <f>'Bảng tính toán'!BM28</f>
        <v>0</v>
      </c>
      <c r="K28" s="243">
        <f>'Bảng tính toán'!CF28</f>
        <v>496000</v>
      </c>
      <c r="L28" s="243" t="str">
        <f>'Danh muc'!F28</f>
        <v>7763 753 137</v>
      </c>
    </row>
    <row r="29" spans="1:13" s="245" customFormat="1" ht="33.75" customHeight="1">
      <c r="A29" s="241">
        <f>'Danh muc'!A29</f>
        <v>22</v>
      </c>
      <c r="B29" s="241">
        <f>'Danh muc'!B29</f>
        <v>22011800</v>
      </c>
      <c r="C29" s="242" t="str">
        <f>'Danh muc'!C29</f>
        <v>Lê Thị Kim Chi</v>
      </c>
      <c r="D29" s="242" t="str">
        <f>'Danh muc'!E29</f>
        <v>Ngoại Quan</v>
      </c>
      <c r="E29" s="243">
        <f>'Bảng tính toán'!BO29</f>
        <v>1157692.3076923077</v>
      </c>
      <c r="F29" s="244">
        <f>'Bảng tính toán'!BP29</f>
        <v>640500</v>
      </c>
      <c r="G29" s="244">
        <f>'Bảng tính toán'!BT29</f>
        <v>30500</v>
      </c>
      <c r="H29" s="243">
        <f>'Bảng tính toán'!BR29</f>
        <v>0</v>
      </c>
      <c r="I29" s="244">
        <f>'Bảng tính toán'!CD29</f>
        <v>0</v>
      </c>
      <c r="J29" s="244">
        <f>'Bảng tính toán'!BM29</f>
        <v>0</v>
      </c>
      <c r="K29" s="243">
        <f>'Bảng tính toán'!CF29</f>
        <v>486000</v>
      </c>
      <c r="L29" s="243" t="str">
        <f>'Danh muc'!F29</f>
        <v>0501 000 191 835</v>
      </c>
    </row>
    <row r="30" spans="1:13" s="245" customFormat="1" ht="33.75" customHeight="1">
      <c r="A30" s="241">
        <f>'Danh muc'!A30</f>
        <v>23</v>
      </c>
      <c r="B30" s="241">
        <f>'Danh muc'!B30</f>
        <v>22050900</v>
      </c>
      <c r="C30" s="242" t="str">
        <f>'Danh muc'!C30</f>
        <v>Nguyễn Thị Diễm Mi</v>
      </c>
      <c r="D30" s="242" t="str">
        <f>'Danh muc'!E30</f>
        <v>Ngoại Quan</v>
      </c>
      <c r="E30" s="243">
        <f>'Bảng tính toán'!BO30</f>
        <v>1000000</v>
      </c>
      <c r="F30" s="244">
        <f>'Bảng tính toán'!BP30</f>
        <v>630000</v>
      </c>
      <c r="G30" s="244">
        <f>'Bảng tính toán'!BT30</f>
        <v>30000</v>
      </c>
      <c r="H30" s="243">
        <f>'Bảng tính toán'!BR30</f>
        <v>0</v>
      </c>
      <c r="I30" s="244">
        <f>'Bảng tính toán'!CD30</f>
        <v>0</v>
      </c>
      <c r="J30" s="244">
        <f>'Bảng tính toán'!BM30</f>
        <v>0</v>
      </c>
      <c r="K30" s="243">
        <f>'Bảng tính toán'!CF30</f>
        <v>340000</v>
      </c>
      <c r="L30" s="243" t="str">
        <f>'Danh muc'!F30</f>
        <v>7979 845 048</v>
      </c>
    </row>
    <row r="31" spans="1:13" s="245" customFormat="1" ht="33.75" customHeight="1">
      <c r="A31" s="241">
        <f>'Danh muc'!A31</f>
        <v>24</v>
      </c>
      <c r="B31" s="241">
        <f>'Danh muc'!B31</f>
        <v>22111800</v>
      </c>
      <c r="C31" s="242" t="str">
        <f>'Danh muc'!C31</f>
        <v>Lê Thị Kim Thoa</v>
      </c>
      <c r="D31" s="242" t="str">
        <f>'Danh muc'!E31</f>
        <v>Ngoại Quan</v>
      </c>
      <c r="E31" s="243">
        <f>'Bảng tính toán'!BO31</f>
        <v>923076.92307692301</v>
      </c>
      <c r="F31" s="244">
        <f>'Bảng tính toán'!BP31</f>
        <v>630000</v>
      </c>
      <c r="G31" s="244">
        <f>'Bảng tính toán'!BT31</f>
        <v>30000</v>
      </c>
      <c r="H31" s="243">
        <f>'Bảng tính toán'!BR31</f>
        <v>0</v>
      </c>
      <c r="I31" s="244">
        <f>'Bảng tính toán'!CD31</f>
        <v>0</v>
      </c>
      <c r="J31" s="244">
        <f>'Bảng tính toán'!BM31</f>
        <v>0</v>
      </c>
      <c r="K31" s="243">
        <f>'Bảng tính toán'!CF31</f>
        <v>263000</v>
      </c>
      <c r="L31" s="243" t="str">
        <f>'Danh muc'!F31</f>
        <v>1932 421 405</v>
      </c>
    </row>
    <row r="32" spans="1:13" s="245" customFormat="1" ht="33.75" customHeight="1">
      <c r="A32" s="241">
        <f>'Danh muc'!A32</f>
        <v>25</v>
      </c>
      <c r="B32" s="241">
        <f>'Danh muc'!B32</f>
        <v>24100100</v>
      </c>
      <c r="C32" s="242" t="str">
        <f>'Danh muc'!C32</f>
        <v>Hồ Thị Du</v>
      </c>
      <c r="D32" s="242" t="str">
        <f>'Danh muc'!E32</f>
        <v>Ngoại Quan</v>
      </c>
      <c r="E32" s="243">
        <f>'Bảng tính toán'!BO32</f>
        <v>796153.84615384613</v>
      </c>
      <c r="F32" s="244">
        <f>'Bảng tính toán'!BP32</f>
        <v>598500</v>
      </c>
      <c r="G32" s="244">
        <f>'Bảng tính toán'!BT32</f>
        <v>28500</v>
      </c>
      <c r="H32" s="243">
        <f>'Bảng tính toán'!BR32</f>
        <v>0</v>
      </c>
      <c r="I32" s="244">
        <f>'Bảng tính toán'!CD32</f>
        <v>0</v>
      </c>
      <c r="J32" s="244">
        <f>'Bảng tính toán'!BM32</f>
        <v>0</v>
      </c>
      <c r="K32" s="243">
        <f>'Bảng tính toán'!CF32</f>
        <v>169000</v>
      </c>
      <c r="L32" s="243" t="str">
        <f>'Danh muc'!F32</f>
        <v>000 105 764 0113</v>
      </c>
    </row>
    <row r="33" spans="1:12" s="245" customFormat="1" ht="33.75" customHeight="1">
      <c r="A33" s="241">
        <f>'Danh muc'!A33</f>
        <v>26</v>
      </c>
      <c r="B33" s="241">
        <f>'Danh muc'!B33</f>
        <v>22050901</v>
      </c>
      <c r="C33" s="242" t="str">
        <f>'Danh muc'!C33</f>
        <v>Phạm Thị Kim Huệ</v>
      </c>
      <c r="D33" s="242" t="str">
        <f>'Danh muc'!E33</f>
        <v>Ngoại Quan</v>
      </c>
      <c r="E33" s="243">
        <f>'Bảng tính toán'!BO33</f>
        <v>988461.5384615385</v>
      </c>
      <c r="F33" s="308">
        <f>'Bảng tính toán'!BP33</f>
        <v>598500</v>
      </c>
      <c r="G33" s="244">
        <f>'Bảng tính toán'!BT33</f>
        <v>28500</v>
      </c>
      <c r="H33" s="243">
        <f>'Bảng tính toán'!BR33</f>
        <v>0</v>
      </c>
      <c r="I33" s="244">
        <f>'Bảng tính toán'!CD33</f>
        <v>0</v>
      </c>
      <c r="J33" s="244">
        <f>'Bảng tính toán'!BM33</f>
        <v>0</v>
      </c>
      <c r="K33" s="243">
        <f>'Bảng tính toán'!CF33</f>
        <v>361000</v>
      </c>
      <c r="L33" s="243" t="str">
        <f>'Danh muc'!F33</f>
        <v>104 980 2256</v>
      </c>
    </row>
    <row r="34" spans="1:12" s="245" customFormat="1" ht="33.75" customHeight="1">
      <c r="A34" s="241">
        <f>'Danh muc'!A34</f>
        <v>27</v>
      </c>
      <c r="B34" s="241">
        <f>'Danh muc'!B34</f>
        <v>22060900</v>
      </c>
      <c r="C34" s="242" t="str">
        <f>'Danh muc'!C34</f>
        <v>Đoàn Hữu Duy Linh</v>
      </c>
      <c r="D34" s="242" t="str">
        <f>'Danh muc'!E34</f>
        <v>Ngoại Quan</v>
      </c>
      <c r="E34" s="243">
        <f>'Bảng tính toán'!BO34</f>
        <v>992307.69230769225</v>
      </c>
      <c r="F34" s="244">
        <f>'Bảng tính toán'!BP34</f>
        <v>609000</v>
      </c>
      <c r="G34" s="244">
        <f>'Bảng tính toán'!BT34</f>
        <v>29000</v>
      </c>
      <c r="H34" s="243">
        <f>'Bảng tính toán'!BR34</f>
        <v>0</v>
      </c>
      <c r="I34" s="244">
        <f>'Bảng tính toán'!CD34</f>
        <v>0</v>
      </c>
      <c r="J34" s="244">
        <f>'Bảng tính toán'!BM34</f>
        <v>0</v>
      </c>
      <c r="K34" s="243">
        <f>'Bảng tính toán'!CF34</f>
        <v>354000</v>
      </c>
      <c r="L34" s="243" t="str">
        <f>'Danh muc'!F34</f>
        <v>3395 178 549</v>
      </c>
    </row>
    <row r="35" spans="1:12" s="245" customFormat="1" ht="33.75" customHeight="1">
      <c r="A35" s="241">
        <f>'Danh muc'!A35</f>
        <v>28</v>
      </c>
      <c r="B35" s="241">
        <f>'Danh muc'!B35</f>
        <v>23031500</v>
      </c>
      <c r="C35" s="242" t="str">
        <f>'Danh muc'!C35</f>
        <v>Phan Thị Thúy Hằng</v>
      </c>
      <c r="D35" s="242" t="str">
        <f>'Danh muc'!E35</f>
        <v>Ngoại Quan</v>
      </c>
      <c r="E35" s="243">
        <f>'Bảng tính toán'!BO35</f>
        <v>988461.5384615385</v>
      </c>
      <c r="F35" s="244">
        <f>'Bảng tính toán'!BP35</f>
        <v>598500</v>
      </c>
      <c r="G35" s="244">
        <f>'Bảng tính toán'!BT35</f>
        <v>28500</v>
      </c>
      <c r="H35" s="243">
        <f>'Bảng tính toán'!BR35</f>
        <v>0</v>
      </c>
      <c r="I35" s="244">
        <f>'Bảng tính toán'!CD35</f>
        <v>0</v>
      </c>
      <c r="J35" s="244">
        <f>'Bảng tính toán'!BM35</f>
        <v>0</v>
      </c>
      <c r="K35" s="243">
        <f>'Bảng tính toán'!CF35</f>
        <v>361000</v>
      </c>
      <c r="L35" s="243" t="str">
        <f>'Danh muc'!F35</f>
        <v>104 980 0352</v>
      </c>
    </row>
    <row r="36" spans="1:12" s="245" customFormat="1" ht="33.75" customHeight="1">
      <c r="A36" s="241">
        <f>'Danh muc'!A36</f>
        <v>29</v>
      </c>
      <c r="B36" s="241">
        <f>'Danh muc'!B36</f>
        <v>23013100</v>
      </c>
      <c r="C36" s="242" t="str">
        <f>'Danh muc'!C36</f>
        <v>Huỳnh Thị Cẩm Tú</v>
      </c>
      <c r="D36" s="242" t="str">
        <f>'Danh muc'!E36</f>
        <v>Ngoại Quan</v>
      </c>
      <c r="E36" s="243">
        <f>'Bảng tính toán'!BO36</f>
        <v>988461.5384615385</v>
      </c>
      <c r="F36" s="244">
        <f>'Bảng tính toán'!BP36</f>
        <v>598500</v>
      </c>
      <c r="G36" s="244">
        <f>'Bảng tính toán'!BT36</f>
        <v>28500</v>
      </c>
      <c r="H36" s="243">
        <f>'Bảng tính toán'!BR36</f>
        <v>0</v>
      </c>
      <c r="I36" s="244">
        <f>'Bảng tính toán'!CD36</f>
        <v>0</v>
      </c>
      <c r="J36" s="244">
        <f>'Bảng tính toán'!BM36</f>
        <v>0</v>
      </c>
      <c r="K36" s="243">
        <f>'Bảng tính toán'!CF36</f>
        <v>361000</v>
      </c>
      <c r="L36" s="243" t="str">
        <f>'Danh muc'!F36</f>
        <v>104 980 5768</v>
      </c>
    </row>
    <row r="37" spans="1:12" s="245" customFormat="1" ht="33.75" customHeight="1">
      <c r="A37" s="241">
        <f>'Danh muc'!A37</f>
        <v>30</v>
      </c>
      <c r="B37" s="241">
        <f>'Danh muc'!B37</f>
        <v>23030100</v>
      </c>
      <c r="C37" s="242" t="str">
        <f>'Danh muc'!C37</f>
        <v>Đinh Phương Thảo</v>
      </c>
      <c r="D37" s="242" t="str">
        <f>'Danh muc'!E37</f>
        <v>ISO</v>
      </c>
      <c r="E37" s="243">
        <f>'Bảng tính toán'!BO37</f>
        <v>923076.92307692301</v>
      </c>
      <c r="F37" s="244">
        <f>'Bảng tính toán'!BP37</f>
        <v>630000</v>
      </c>
      <c r="G37" s="244">
        <f>'Bảng tính toán'!BT37</f>
        <v>30000</v>
      </c>
      <c r="H37" s="243">
        <f>'Bảng tính toán'!BR37</f>
        <v>0</v>
      </c>
      <c r="I37" s="244">
        <f>'Bảng tính toán'!CD37</f>
        <v>0</v>
      </c>
      <c r="J37" s="244">
        <f>'Bảng tính toán'!BM37</f>
        <v>0</v>
      </c>
      <c r="K37" s="243">
        <f>'Bảng tính toán'!CF37</f>
        <v>263000</v>
      </c>
      <c r="L37" s="243" t="str">
        <f>'Danh muc'!F37</f>
        <v>3703 806 713</v>
      </c>
    </row>
    <row r="38" spans="1:12" s="245" customFormat="1" ht="33.75" customHeight="1">
      <c r="A38" s="241">
        <f>'Danh muc'!A38</f>
        <v>31</v>
      </c>
      <c r="B38" s="241">
        <f>'Danh muc'!B38</f>
        <v>24080500</v>
      </c>
      <c r="C38" s="242" t="str">
        <f>'Danh muc'!C38</f>
        <v>Võ Thị Thúy Kiều</v>
      </c>
      <c r="D38" s="242" t="str">
        <f>'Danh muc'!E38</f>
        <v>Ngoại Quan</v>
      </c>
      <c r="E38" s="243">
        <f>'Bảng tính toán'!BO38</f>
        <v>911538.4615384615</v>
      </c>
      <c r="F38" s="244">
        <f>'Bảng tính toán'!BP38</f>
        <v>598500</v>
      </c>
      <c r="G38" s="244">
        <f>'Bảng tính toán'!BT38</f>
        <v>28500</v>
      </c>
      <c r="H38" s="243">
        <f>'Bảng tính toán'!BR38</f>
        <v>0</v>
      </c>
      <c r="I38" s="244">
        <f>'Bảng tính toán'!CD38</f>
        <v>0</v>
      </c>
      <c r="J38" s="244">
        <f>'Bảng tính toán'!BM38</f>
        <v>0</v>
      </c>
      <c r="K38" s="243">
        <f>'Bảng tính toán'!CF38</f>
        <v>284000</v>
      </c>
      <c r="L38" s="243" t="str">
        <f>'Danh muc'!F38</f>
        <v>104 980 9572</v>
      </c>
    </row>
    <row r="39" spans="1:12" s="245" customFormat="1" ht="33.75" customHeight="1">
      <c r="A39" s="241">
        <f>'Danh muc'!A39</f>
        <v>32</v>
      </c>
      <c r="B39" s="241">
        <f>'Danh muc'!B39</f>
        <v>23041700</v>
      </c>
      <c r="C39" s="242" t="str">
        <f>'Danh muc'!C39</f>
        <v>Trần Thị Cẩm Tiên</v>
      </c>
      <c r="D39" s="242" t="str">
        <f>'Danh muc'!E39</f>
        <v>Ngoại Quan</v>
      </c>
      <c r="E39" s="243">
        <f>'Bảng tính toán'!BO39</f>
        <v>919230.76923076925</v>
      </c>
      <c r="F39" s="244">
        <f>'Bảng tính toán'!BP39</f>
        <v>619500</v>
      </c>
      <c r="G39" s="244">
        <f>'Bảng tính toán'!BT39</f>
        <v>29500</v>
      </c>
      <c r="H39" s="243">
        <f>'Bảng tính toán'!BR39</f>
        <v>0</v>
      </c>
      <c r="I39" s="244">
        <f>'Bảng tính toán'!CD39</f>
        <v>0</v>
      </c>
      <c r="J39" s="244">
        <f>'Bảng tính toán'!BM39</f>
        <v>0</v>
      </c>
      <c r="K39" s="243">
        <f>'Bảng tính toán'!CF39</f>
        <v>270000</v>
      </c>
      <c r="L39" s="243" t="str">
        <f>'Danh muc'!F39</f>
        <v>3342 229 060</v>
      </c>
    </row>
    <row r="40" spans="1:12" s="245" customFormat="1" ht="33.75" hidden="1" customHeight="1">
      <c r="A40" s="241"/>
      <c r="B40" s="341">
        <f>'Danh muc'!B40</f>
        <v>25080800</v>
      </c>
      <c r="C40" s="342" t="str">
        <f>'Danh muc'!C40</f>
        <v>Phan Thanh Toàn</v>
      </c>
      <c r="D40" s="242" t="str">
        <f>'Danh muc'!E40</f>
        <v>Khuôn</v>
      </c>
      <c r="E40" s="243">
        <f>'Bảng tính toán'!BO40</f>
        <v>211538.46153846153</v>
      </c>
      <c r="F40" s="314">
        <f>'Bảng tính toán'!BP40</f>
        <v>577500</v>
      </c>
      <c r="G40" s="314">
        <f>'Bảng tính toán'!BT40</f>
        <v>0</v>
      </c>
      <c r="H40" s="243">
        <f>'Bảng tính toán'!BR40</f>
        <v>0</v>
      </c>
      <c r="I40" s="244">
        <f>'Bảng tính toán'!CD40</f>
        <v>0</v>
      </c>
      <c r="J40" s="244">
        <f>'Bảng tính toán'!BM40</f>
        <v>0</v>
      </c>
      <c r="K40" s="243">
        <f>'Bảng tính toán'!CF40</f>
        <v>-366000</v>
      </c>
      <c r="L40" s="243" t="str">
        <f>'Danh muc'!F40</f>
        <v>9394 766 541</v>
      </c>
    </row>
    <row r="41" spans="1:12" s="245" customFormat="1" ht="33.75" customHeight="1">
      <c r="A41" s="241">
        <v>33</v>
      </c>
      <c r="B41" s="241">
        <f>'Danh muc'!B41</f>
        <v>24022100</v>
      </c>
      <c r="C41" s="242" t="str">
        <f>'Danh muc'!C41</f>
        <v>Nguyễn Thị Hồng Nhung</v>
      </c>
      <c r="D41" s="242" t="str">
        <f>'Danh muc'!E41</f>
        <v>Ngoại Quan</v>
      </c>
      <c r="E41" s="243">
        <f>'Bảng tính toán'!BO41</f>
        <v>911538.4615384615</v>
      </c>
      <c r="F41" s="244">
        <f>'Bảng tính toán'!BP41</f>
        <v>598500</v>
      </c>
      <c r="G41" s="244">
        <f>'Bảng tính toán'!BT41</f>
        <v>28500</v>
      </c>
      <c r="H41" s="243">
        <f>'Bảng tính toán'!BR41</f>
        <v>0</v>
      </c>
      <c r="I41" s="244">
        <f>'Bảng tính toán'!CD41</f>
        <v>0</v>
      </c>
      <c r="J41" s="244">
        <f>'Bảng tính toán'!BM41</f>
        <v>0</v>
      </c>
      <c r="K41" s="243">
        <f>'Bảng tính toán'!CF41</f>
        <v>284000</v>
      </c>
      <c r="L41" s="243" t="str">
        <f>'Danh muc'!F41</f>
        <v>103 703 5714</v>
      </c>
    </row>
    <row r="42" spans="1:12" s="245" customFormat="1" ht="33.75" customHeight="1">
      <c r="A42" s="241">
        <v>34</v>
      </c>
      <c r="B42" s="241">
        <f>'Danh muc'!B42</f>
        <v>24061900</v>
      </c>
      <c r="C42" s="242" t="str">
        <f>'Danh muc'!C42</f>
        <v>Lê Thị Hồng Hiếu</v>
      </c>
      <c r="D42" s="242" t="str">
        <f>'Danh muc'!E42</f>
        <v>Ngoại Quan</v>
      </c>
      <c r="E42" s="243">
        <f>'Bảng tính toán'!BO42</f>
        <v>915384.61538461526</v>
      </c>
      <c r="F42" s="244">
        <f>'Bảng tính toán'!BP42</f>
        <v>609000</v>
      </c>
      <c r="G42" s="244">
        <f>'Bảng tính toán'!BT42</f>
        <v>29000</v>
      </c>
      <c r="H42" s="243">
        <f>'Bảng tính toán'!BR42</f>
        <v>0</v>
      </c>
      <c r="I42" s="244">
        <f>'Bảng tính toán'!CD42</f>
        <v>0</v>
      </c>
      <c r="J42" s="244">
        <f>'Bảng tính toán'!BM42</f>
        <v>0</v>
      </c>
      <c r="K42" s="246">
        <f>'Bảng tính toán'!CF42</f>
        <v>277000</v>
      </c>
      <c r="L42" s="243" t="str">
        <f>'Danh muc'!F42</f>
        <v>104 980 4647</v>
      </c>
    </row>
    <row r="43" spans="1:12" s="245" customFormat="1" ht="33.75" customHeight="1">
      <c r="A43" s="241">
        <v>35</v>
      </c>
      <c r="B43" s="241">
        <f>'Danh muc'!B43</f>
        <v>23071800</v>
      </c>
      <c r="C43" s="242" t="str">
        <f>'Danh muc'!C43</f>
        <v>Lê Minh Phát</v>
      </c>
      <c r="D43" s="242" t="str">
        <f>'Danh muc'!E43</f>
        <v>Sản xuất</v>
      </c>
      <c r="E43" s="243">
        <f>'Bảng tính toán'!BO43</f>
        <v>1311538.4615384615</v>
      </c>
      <c r="F43" s="244">
        <f>'Bảng tính toán'!BP43</f>
        <v>640500</v>
      </c>
      <c r="G43" s="244">
        <f>'Bảng tính toán'!BT43</f>
        <v>30500</v>
      </c>
      <c r="H43" s="243">
        <f>'Bảng tính toán'!BR43</f>
        <v>0</v>
      </c>
      <c r="I43" s="244">
        <f>'Bảng tính toán'!CD43</f>
        <v>0</v>
      </c>
      <c r="J43" s="244">
        <f>'Bảng tính toán'!BM43</f>
        <v>0</v>
      </c>
      <c r="K43" s="243">
        <f>'Bảng tính toán'!CF43</f>
        <v>640000</v>
      </c>
      <c r="L43" s="243" t="str">
        <f>'Danh muc'!F43</f>
        <v>7908 712 407</v>
      </c>
    </row>
    <row r="44" spans="1:12" s="245" customFormat="1" ht="33.75" customHeight="1">
      <c r="A44" s="241">
        <v>36</v>
      </c>
      <c r="B44" s="241">
        <f>'Danh muc'!B44</f>
        <v>23082200</v>
      </c>
      <c r="C44" s="242" t="str">
        <f>'Danh muc'!C44</f>
        <v>Hồ Sóng Vổ</v>
      </c>
      <c r="D44" s="242" t="str">
        <f>'Danh muc'!E44</f>
        <v>Sản xuất</v>
      </c>
      <c r="E44" s="243">
        <f>'Bảng tính toán'!BO44</f>
        <v>1311538.4615384615</v>
      </c>
      <c r="F44" s="244">
        <f>'Bảng tính toán'!BP44</f>
        <v>640500</v>
      </c>
      <c r="G44" s="244">
        <f>'Bảng tính toán'!BT44</f>
        <v>30500</v>
      </c>
      <c r="H44" s="243">
        <f>'Bảng tính toán'!BR44</f>
        <v>0</v>
      </c>
      <c r="I44" s="244">
        <f>'Bảng tính toán'!CD44</f>
        <v>0</v>
      </c>
      <c r="J44" s="244">
        <f>'Bảng tính toán'!BM44</f>
        <v>0</v>
      </c>
      <c r="K44" s="243">
        <f>'Bảng tính toán'!CF44</f>
        <v>640000</v>
      </c>
      <c r="L44" s="243" t="str">
        <f>'Danh muc'!F44</f>
        <v>1943 323 680</v>
      </c>
    </row>
    <row r="45" spans="1:12" s="245" customFormat="1" ht="33.75" customHeight="1">
      <c r="A45" s="241">
        <v>37</v>
      </c>
      <c r="B45" s="241">
        <f>'Danh muc'!B45</f>
        <v>23081500</v>
      </c>
      <c r="C45" s="242" t="str">
        <f>'Danh muc'!C45</f>
        <v>Nguyễn Thị Nhớ</v>
      </c>
      <c r="D45" s="242" t="str">
        <f>'Danh muc'!E45</f>
        <v>Sản xuất</v>
      </c>
      <c r="E45" s="243">
        <f>'Bảng tính toán'!BO45</f>
        <v>873076.92307692312</v>
      </c>
      <c r="F45" s="244">
        <f>'Bảng tính toán'!BP45</f>
        <v>598500</v>
      </c>
      <c r="G45" s="244">
        <f>'Bảng tính toán'!BT45</f>
        <v>28500</v>
      </c>
      <c r="H45" s="243">
        <f>'Bảng tính toán'!BR45</f>
        <v>0</v>
      </c>
      <c r="I45" s="244">
        <f>'Bảng tính toán'!CD45</f>
        <v>0</v>
      </c>
      <c r="J45" s="244">
        <f>'Bảng tính toán'!BM45</f>
        <v>0</v>
      </c>
      <c r="K45" s="243">
        <f>'Bảng tính toán'!CF45</f>
        <v>246000</v>
      </c>
      <c r="L45" s="243" t="str">
        <f>'Danh muc'!F45</f>
        <v>1876  640  616</v>
      </c>
    </row>
    <row r="46" spans="1:12" s="245" customFormat="1" ht="33.75" customHeight="1">
      <c r="A46" s="241">
        <v>38</v>
      </c>
      <c r="B46" s="241">
        <f>'Danh muc'!B46</f>
        <v>24061301</v>
      </c>
      <c r="C46" s="242" t="str">
        <f>'Danh muc'!C46</f>
        <v>Hồ Văn Tùng</v>
      </c>
      <c r="D46" s="242" t="str">
        <f>'Danh muc'!E46</f>
        <v>Sản xuất</v>
      </c>
      <c r="E46" s="243">
        <f>'Bảng tính toán'!BO46</f>
        <v>1257692.3076923077</v>
      </c>
      <c r="F46" s="244">
        <f>'Bảng tính toán'!BP46</f>
        <v>598500</v>
      </c>
      <c r="G46" s="244">
        <f>'Bảng tính toán'!BT46</f>
        <v>28500</v>
      </c>
      <c r="H46" s="243">
        <f>'Bảng tính toán'!BR46</f>
        <v>0</v>
      </c>
      <c r="I46" s="244">
        <f>'Bảng tính toán'!CD46</f>
        <v>0</v>
      </c>
      <c r="J46" s="244">
        <f>'Bảng tính toán'!BM46</f>
        <v>0</v>
      </c>
      <c r="K46" s="243">
        <f>'Bảng tính toán'!CF46</f>
        <v>630000</v>
      </c>
      <c r="L46" s="243" t="str">
        <f>'Danh muc'!F46</f>
        <v>000 105 764 1091</v>
      </c>
    </row>
    <row r="47" spans="1:12" s="245" customFormat="1" ht="33.75" customHeight="1">
      <c r="A47" s="241">
        <v>39</v>
      </c>
      <c r="B47" s="241">
        <f>'Danh muc'!B47</f>
        <v>22072300</v>
      </c>
      <c r="C47" s="242" t="str">
        <f>'Danh muc'!C47</f>
        <v>Hồ Thị Ngọc Hiền</v>
      </c>
      <c r="D47" s="242" t="str">
        <f>'Danh muc'!E47</f>
        <v>Sản xuất</v>
      </c>
      <c r="E47" s="243">
        <f>'Bảng tính toán'!BO47</f>
        <v>1350000</v>
      </c>
      <c r="F47" s="244">
        <f>'Bảng tính toán'!BP47</f>
        <v>640500</v>
      </c>
      <c r="G47" s="244">
        <f>'Bảng tính toán'!BT47</f>
        <v>30500</v>
      </c>
      <c r="H47" s="243">
        <f>'Bảng tính toán'!BR47</f>
        <v>0</v>
      </c>
      <c r="I47" s="244">
        <f>'Bảng tính toán'!CD47</f>
        <v>0</v>
      </c>
      <c r="J47" s="244">
        <f>'Bảng tính toán'!BM47</f>
        <v>0</v>
      </c>
      <c r="K47" s="243">
        <f>'Bảng tính toán'!CF47</f>
        <v>679000</v>
      </c>
      <c r="L47" s="243" t="str">
        <f>'Danh muc'!F47</f>
        <v>3937 291 618</v>
      </c>
    </row>
    <row r="48" spans="1:12" s="245" customFormat="1" ht="33.75" customHeight="1">
      <c r="A48" s="241">
        <v>40</v>
      </c>
      <c r="B48" s="241">
        <f>'Danh muc'!B48</f>
        <v>22103100</v>
      </c>
      <c r="C48" s="242" t="str">
        <f>'Danh muc'!C48</f>
        <v>Nguyễn Duy Linh</v>
      </c>
      <c r="D48" s="242" t="str">
        <f>'Danh muc'!E48</f>
        <v>Sản xuất</v>
      </c>
      <c r="E48" s="243">
        <f>'Bảng tính toán'!BO48</f>
        <v>996153.84615384624</v>
      </c>
      <c r="F48" s="244">
        <f>'Bảng tính toán'!BP48</f>
        <v>619500</v>
      </c>
      <c r="G48" s="244">
        <f>'Bảng tính toán'!BT48</f>
        <v>29500</v>
      </c>
      <c r="H48" s="243">
        <f>'Bảng tính toán'!BR48</f>
        <v>0</v>
      </c>
      <c r="I48" s="244">
        <f>'Bảng tính toán'!CD48</f>
        <v>0</v>
      </c>
      <c r="J48" s="244">
        <f>'Bảng tính toán'!BM48</f>
        <v>0</v>
      </c>
      <c r="K48" s="243">
        <f>'Bảng tính toán'!CF48</f>
        <v>347000</v>
      </c>
      <c r="L48" s="243" t="str">
        <f>'Danh muc'!F48</f>
        <v>3365 994 895</v>
      </c>
    </row>
    <row r="49" spans="1:13" s="245" customFormat="1" ht="33.75" hidden="1" customHeight="1">
      <c r="A49" s="241"/>
      <c r="B49" s="341">
        <f>'Danh muc'!B49</f>
        <v>25062300</v>
      </c>
      <c r="C49" s="342" t="str">
        <f>'Danh muc'!C49</f>
        <v>Nguyễn Thị Kim Anh</v>
      </c>
      <c r="D49" s="242" t="str">
        <f>'Danh muc'!E49</f>
        <v>Ngoại Quan</v>
      </c>
      <c r="E49" s="243">
        <f>'Bảng tính toán'!BO49</f>
        <v>742692.30769230775</v>
      </c>
      <c r="F49" s="244">
        <f>'Bảng tính toán'!BP49</f>
        <v>557550</v>
      </c>
      <c r="G49" s="244">
        <f>'Bảng tính toán'!BT49</f>
        <v>0</v>
      </c>
      <c r="H49" s="243">
        <f>'Bảng tính toán'!BR49</f>
        <v>0</v>
      </c>
      <c r="I49" s="244">
        <f>'Bảng tính toán'!CD49</f>
        <v>0</v>
      </c>
      <c r="J49" s="244">
        <f>'Bảng tính toán'!BM49</f>
        <v>0</v>
      </c>
      <c r="K49" s="243">
        <f>'Bảng tính toán'!CF49</f>
        <v>185000</v>
      </c>
      <c r="L49" s="243" t="str">
        <f>'Danh muc'!F49</f>
        <v>9363 804 021</v>
      </c>
    </row>
    <row r="50" spans="1:13" s="245" customFormat="1" ht="33.75" customHeight="1">
      <c r="A50" s="241">
        <v>41</v>
      </c>
      <c r="B50" s="241">
        <f>'Danh muc'!B50</f>
        <v>24090700</v>
      </c>
      <c r="C50" s="242" t="str">
        <f>'Danh muc'!C50</f>
        <v>Lê Thị Cẩm Nhiên</v>
      </c>
      <c r="D50" s="242" t="str">
        <f>'Danh muc'!E50</f>
        <v>Sản xuất</v>
      </c>
      <c r="E50" s="243">
        <f>'Bảng tính toán'!BO50</f>
        <v>911538.4615384615</v>
      </c>
      <c r="F50" s="244">
        <f>'Bảng tính toán'!BP50</f>
        <v>577500</v>
      </c>
      <c r="G50" s="244">
        <f>'Bảng tính toán'!BT50</f>
        <v>27500</v>
      </c>
      <c r="H50" s="243">
        <f>'Bảng tính toán'!BR50</f>
        <v>0</v>
      </c>
      <c r="I50" s="244">
        <f>'Bảng tính toán'!CD50</f>
        <v>0</v>
      </c>
      <c r="J50" s="244">
        <f>'Bảng tính toán'!BM50</f>
        <v>0</v>
      </c>
      <c r="K50" s="243">
        <f>'Bảng tính toán'!CF50</f>
        <v>306000</v>
      </c>
      <c r="L50" s="243" t="str">
        <f>'Danh muc'!F50</f>
        <v>000 105 764 1341</v>
      </c>
    </row>
    <row r="51" spans="1:13" s="245" customFormat="1" ht="33.75" customHeight="1">
      <c r="A51" s="241">
        <v>42</v>
      </c>
      <c r="B51" s="241">
        <f>'Danh muc'!B51</f>
        <v>23061400</v>
      </c>
      <c r="C51" s="242" t="str">
        <f>'Danh muc'!C51</f>
        <v>Nguyễn Thị Hoa</v>
      </c>
      <c r="D51" s="242" t="str">
        <f>'Danh muc'!E51</f>
        <v>Sản xuất</v>
      </c>
      <c r="E51" s="243">
        <f>'Bảng tính toán'!BO51</f>
        <v>903846.15384615376</v>
      </c>
      <c r="F51" s="308">
        <f>'Bảng tính toán'!BP51</f>
        <v>577500</v>
      </c>
      <c r="G51" s="308">
        <f>'Bảng tính toán'!BT51</f>
        <v>27500</v>
      </c>
      <c r="H51" s="243">
        <f>'Bảng tính toán'!BR51</f>
        <v>0</v>
      </c>
      <c r="I51" s="244">
        <f>'Bảng tính toán'!CD51</f>
        <v>0</v>
      </c>
      <c r="J51" s="244">
        <f>'Bảng tính toán'!BM51</f>
        <v>0</v>
      </c>
      <c r="K51" s="243">
        <f>'Bảng tính toán'!CF51</f>
        <v>298000</v>
      </c>
      <c r="L51" s="243" t="str">
        <f>'Danh muc'!F51</f>
        <v>9364 804 917</v>
      </c>
    </row>
    <row r="52" spans="1:13" s="245" customFormat="1" ht="33.75" customHeight="1">
      <c r="A52" s="241">
        <v>43</v>
      </c>
      <c r="B52" s="241">
        <f>'Danh muc'!B52</f>
        <v>24051300</v>
      </c>
      <c r="C52" s="242" t="str">
        <f>'Danh muc'!C52</f>
        <v>Lê Văn Kiệt</v>
      </c>
      <c r="D52" s="242" t="str">
        <f>'Danh muc'!E52</f>
        <v>Sản xuất</v>
      </c>
      <c r="E52" s="243">
        <f>'Bảng tính toán'!BO52</f>
        <v>796153.84615384613</v>
      </c>
      <c r="F52" s="244">
        <f>'Bảng tính toán'!BP52</f>
        <v>598500</v>
      </c>
      <c r="G52" s="244">
        <f>'Bảng tính toán'!BT52</f>
        <v>28500</v>
      </c>
      <c r="H52" s="243">
        <f>'Bảng tính toán'!BR52</f>
        <v>0</v>
      </c>
      <c r="I52" s="244">
        <f>'Bảng tính toán'!CD52</f>
        <v>0</v>
      </c>
      <c r="J52" s="244">
        <f>'Bảng tính toán'!BM52</f>
        <v>0</v>
      </c>
      <c r="K52" s="243">
        <f>'Bảng tính toán'!CF52</f>
        <v>169000</v>
      </c>
      <c r="L52" s="243" t="str">
        <f>'Danh muc'!F52</f>
        <v>104 980 2926</v>
      </c>
    </row>
    <row r="53" spans="1:13" s="245" customFormat="1" ht="33.75" customHeight="1">
      <c r="A53" s="241">
        <v>44</v>
      </c>
      <c r="B53" s="241">
        <f>'Danh muc'!B53</f>
        <v>24030300</v>
      </c>
      <c r="C53" s="242" t="str">
        <f>'Danh muc'!C53</f>
        <v>Nguyễn Đoàn Duy Khương</v>
      </c>
      <c r="D53" s="242" t="str">
        <f>'Danh muc'!E53</f>
        <v>Sản xuất</v>
      </c>
      <c r="E53" s="243">
        <f>'Bảng tính toán'!BO53</f>
        <v>834615.38461538462</v>
      </c>
      <c r="F53" s="244">
        <f>'Bảng tính toán'!BP53</f>
        <v>598500</v>
      </c>
      <c r="G53" s="244">
        <f>'Bảng tính toán'!BT53</f>
        <v>28500</v>
      </c>
      <c r="H53" s="243">
        <f>'Bảng tính toán'!BR53</f>
        <v>0</v>
      </c>
      <c r="I53" s="244">
        <f>'Bảng tính toán'!CD53</f>
        <v>0</v>
      </c>
      <c r="J53" s="244">
        <f>'Bảng tính toán'!BM53</f>
        <v>0</v>
      </c>
      <c r="K53" s="243">
        <f>'Bảng tính toán'!CF53</f>
        <v>207000</v>
      </c>
      <c r="L53" s="243" t="str">
        <f>'Danh muc'!F53</f>
        <v>104 980 1669</v>
      </c>
    </row>
    <row r="54" spans="1:13" s="245" customFormat="1" ht="33.75" customHeight="1">
      <c r="A54" s="241">
        <v>45</v>
      </c>
      <c r="B54" s="241">
        <f>'Danh muc'!B54</f>
        <v>17010101</v>
      </c>
      <c r="C54" s="242" t="str">
        <f>'Danh muc'!C54</f>
        <v>Nguyễn Minh Thùy</v>
      </c>
      <c r="D54" s="242" t="str">
        <f>'Danh muc'!E54</f>
        <v>Trưởng ca</v>
      </c>
      <c r="E54" s="243">
        <f>'Bảng tính toán'!BO54</f>
        <v>2380769.230769231</v>
      </c>
      <c r="F54" s="244">
        <f>'Bảng tính toán'!BP54</f>
        <v>724500</v>
      </c>
      <c r="G54" s="244">
        <f>'Bảng tính toán'!BT54</f>
        <v>34500</v>
      </c>
      <c r="H54" s="243">
        <f>'Bảng tính toán'!BR54</f>
        <v>0</v>
      </c>
      <c r="I54" s="244">
        <f>'Bảng tính toán'!CD54</f>
        <v>0</v>
      </c>
      <c r="J54" s="244">
        <f>'Bảng tính toán'!BM54</f>
        <v>0</v>
      </c>
      <c r="K54" s="246">
        <f>'Bảng tính toán'!CF54</f>
        <v>1621000</v>
      </c>
      <c r="L54" s="243" t="str">
        <f>'Danh muc'!F54</f>
        <v>3939 316 371</v>
      </c>
    </row>
    <row r="55" spans="1:13" s="245" customFormat="1" ht="33.75" customHeight="1">
      <c r="A55" s="241">
        <v>46</v>
      </c>
      <c r="B55" s="241">
        <f>'Danh muc'!B55</f>
        <v>22031100</v>
      </c>
      <c r="C55" s="242" t="str">
        <f>'Danh muc'!C55</f>
        <v>Nguyễn Chí Nhân</v>
      </c>
      <c r="D55" s="242" t="str">
        <f>'Danh muc'!E55</f>
        <v>Trưởng ca</v>
      </c>
      <c r="E55" s="243">
        <f>'Bảng tính toán'!BO55</f>
        <v>1319230.7692307692</v>
      </c>
      <c r="F55" s="244">
        <f>'Bảng tính toán'!BP55</f>
        <v>661500</v>
      </c>
      <c r="G55" s="244">
        <f>'Bảng tính toán'!BT55</f>
        <v>31500</v>
      </c>
      <c r="H55" s="243">
        <f>'Bảng tính toán'!BR55</f>
        <v>0</v>
      </c>
      <c r="I55" s="244">
        <f>'Bảng tính toán'!CD55</f>
        <v>0</v>
      </c>
      <c r="J55" s="244">
        <f>'Bảng tính toán'!BM55</f>
        <v>0</v>
      </c>
      <c r="K55" s="246">
        <f>'Bảng tính toán'!CF55</f>
        <v>626000</v>
      </c>
      <c r="L55" s="243" t="str">
        <f>'Danh muc'!F55</f>
        <v>7945 691 656</v>
      </c>
    </row>
    <row r="56" spans="1:13" s="245" customFormat="1" ht="33.75" customHeight="1">
      <c r="A56" s="241">
        <v>47</v>
      </c>
      <c r="B56" s="241">
        <f>'Danh muc'!B56</f>
        <v>22091400</v>
      </c>
      <c r="C56" s="242" t="str">
        <f>'Danh muc'!C56</f>
        <v>Tăng Thị Vành Na</v>
      </c>
      <c r="D56" s="242" t="str">
        <f>'Danh muc'!E56</f>
        <v>Sản xuất</v>
      </c>
      <c r="E56" s="243">
        <f>'Bảng tính toán'!BO56</f>
        <v>880769.23076923075</v>
      </c>
      <c r="F56" s="244">
        <f>'Bảng tính toán'!BP56</f>
        <v>619500</v>
      </c>
      <c r="G56" s="244">
        <f>'Bảng tính toán'!BT56</f>
        <v>29500</v>
      </c>
      <c r="H56" s="243">
        <f>'Bảng tính toán'!BR56</f>
        <v>0</v>
      </c>
      <c r="I56" s="244">
        <f>'Bảng tính toán'!CD56</f>
        <v>0</v>
      </c>
      <c r="J56" s="244">
        <f>'Bảng tính toán'!BM56</f>
        <v>0</v>
      </c>
      <c r="K56" s="246">
        <f>'Bảng tính toán'!CF56</f>
        <v>231000</v>
      </c>
      <c r="L56" s="243" t="str">
        <f>'Danh muc'!F56</f>
        <v>1942 275 042</v>
      </c>
    </row>
    <row r="57" spans="1:13" s="245" customFormat="1" ht="33" customHeight="1">
      <c r="A57" s="241">
        <v>48</v>
      </c>
      <c r="B57" s="241">
        <f>'Danh muc'!B57</f>
        <v>22040500</v>
      </c>
      <c r="C57" s="242" t="str">
        <f>'Danh muc'!C57</f>
        <v>Nguyễn Thị Ngọc Linh</v>
      </c>
      <c r="D57" s="242" t="str">
        <f>'Danh muc'!E57</f>
        <v>Ngoại Quan</v>
      </c>
      <c r="E57" s="243">
        <f>'Bảng tính toán'!BO57</f>
        <v>1003846.1538461539</v>
      </c>
      <c r="F57" s="244">
        <f>'Bảng tính toán'!BP57</f>
        <v>640500</v>
      </c>
      <c r="G57" s="244">
        <f>'Bảng tính toán'!BT57</f>
        <v>30500</v>
      </c>
      <c r="H57" s="243">
        <f>'Bảng tính toán'!BR57</f>
        <v>0</v>
      </c>
      <c r="I57" s="244">
        <f>'Bảng tính toán'!CD57</f>
        <v>0</v>
      </c>
      <c r="J57" s="244"/>
      <c r="K57" s="246">
        <f>'Bảng tính toán'!CF57</f>
        <v>332000</v>
      </c>
      <c r="L57" s="243" t="str">
        <f>'Danh muc'!F57</f>
        <v>3339 077 588</v>
      </c>
    </row>
    <row r="58" spans="1:13" s="245" customFormat="1" ht="33" customHeight="1">
      <c r="A58" s="241">
        <v>49</v>
      </c>
      <c r="B58" s="241">
        <f>'Danh muc'!B58</f>
        <v>23062300</v>
      </c>
      <c r="C58" s="242" t="str">
        <f>'Danh muc'!C58</f>
        <v>Huỳnh Thị Mỹ Nhiên</v>
      </c>
      <c r="D58" s="242" t="str">
        <f>'Danh muc'!E58</f>
        <v>Ngoại Quan</v>
      </c>
      <c r="E58" s="243">
        <f>'Bảng tính toán'!BO58</f>
        <v>988461.5384615385</v>
      </c>
      <c r="F58" s="244">
        <f>'Bảng tính toán'!BP58</f>
        <v>598500</v>
      </c>
      <c r="G58" s="244">
        <f>'Bảng tính toán'!BT58</f>
        <v>28500</v>
      </c>
      <c r="H58" s="243">
        <f>'Bảng tính toán'!BR58</f>
        <v>0</v>
      </c>
      <c r="I58" s="244">
        <f>'Bảng tính toán'!CD58</f>
        <v>0</v>
      </c>
      <c r="J58" s="244"/>
      <c r="K58" s="246">
        <f>'Bảng tính toán'!CF58</f>
        <v>361000</v>
      </c>
      <c r="L58" s="243" t="str">
        <f>'Danh muc'!F58</f>
        <v>000 105 764 1532</v>
      </c>
      <c r="M58" s="296"/>
    </row>
    <row r="59" spans="1:13" s="245" customFormat="1" ht="33" customHeight="1">
      <c r="A59" s="241">
        <v>50</v>
      </c>
      <c r="B59" s="241">
        <f>'Danh muc'!B59</f>
        <v>25061800</v>
      </c>
      <c r="C59" s="242" t="str">
        <f>'Danh muc'!C59</f>
        <v>Nguyễn Huỳnh Minh Phát</v>
      </c>
      <c r="D59" s="242" t="str">
        <f>'Danh muc'!E59</f>
        <v>Sản xuất</v>
      </c>
      <c r="E59" s="243">
        <f>'Bảng tính toán'!BO59</f>
        <v>9615384.615384616</v>
      </c>
      <c r="F59" s="244">
        <f>'Bảng tính toán'!BP59</f>
        <v>577500</v>
      </c>
      <c r="G59" s="244">
        <f>'Bảng tính toán'!BT59</f>
        <v>27500</v>
      </c>
      <c r="H59" s="243">
        <f>'Bảng tính toán'!BR59</f>
        <v>0</v>
      </c>
      <c r="I59" s="244">
        <f>'Bảng tính toán'!CD59</f>
        <v>0</v>
      </c>
      <c r="J59" s="244"/>
      <c r="K59" s="246">
        <f>'Bảng tính toán'!CF59</f>
        <v>9010000</v>
      </c>
      <c r="L59" s="243" t="str">
        <f>'Danh muc'!F59</f>
        <v>1051 573 860</v>
      </c>
      <c r="M59" s="296"/>
    </row>
    <row r="60" spans="1:13" s="245" customFormat="1" ht="33" customHeight="1">
      <c r="A60" s="241">
        <v>51</v>
      </c>
      <c r="B60" s="241">
        <f>'Danh muc'!B60</f>
        <v>25031700</v>
      </c>
      <c r="C60" s="242" t="str">
        <f>'Danh muc'!C60</f>
        <v>Nguyễn Thị Bích Ngọc</v>
      </c>
      <c r="D60" s="242" t="str">
        <f>'Danh muc'!E60</f>
        <v>Sản xuất</v>
      </c>
      <c r="E60" s="243">
        <f>'Bảng tính toán'!BO60</f>
        <v>750000</v>
      </c>
      <c r="F60" s="244">
        <f>'Bảng tính toán'!BP60</f>
        <v>577500</v>
      </c>
      <c r="G60" s="244">
        <f>'Bảng tính toán'!BT60</f>
        <v>27500</v>
      </c>
      <c r="H60" s="243">
        <f>'Bảng tính toán'!BR60</f>
        <v>0</v>
      </c>
      <c r="I60" s="244">
        <f>'Bảng tính toán'!CD60</f>
        <v>0</v>
      </c>
      <c r="J60" s="244"/>
      <c r="K60" s="246">
        <f>'Bảng tính toán'!CF60</f>
        <v>145000</v>
      </c>
      <c r="L60" s="243" t="str">
        <f>'Danh muc'!F60</f>
        <v>1059 007 163</v>
      </c>
    </row>
    <row r="61" spans="1:13" s="245" customFormat="1" ht="33" customHeight="1">
      <c r="A61" s="241">
        <v>52</v>
      </c>
      <c r="B61" s="241">
        <f>'Danh muc'!B61</f>
        <v>25060200</v>
      </c>
      <c r="C61" s="242" t="str">
        <f>'Danh muc'!C61</f>
        <v>Nguyễn Thị Thúy Ngọc</v>
      </c>
      <c r="D61" s="242" t="str">
        <f>'Danh muc'!E61</f>
        <v>Ngoại Quan</v>
      </c>
      <c r="E61" s="243">
        <f>'Bảng tính toán'!BO61</f>
        <v>698500</v>
      </c>
      <c r="F61" s="244">
        <f>'Bảng tính toán'!BP61</f>
        <v>557550</v>
      </c>
      <c r="G61" s="244">
        <f>'Bảng tính toán'!BT61</f>
        <v>26550</v>
      </c>
      <c r="H61" s="243">
        <f>'Bảng tính toán'!BR61</f>
        <v>0</v>
      </c>
      <c r="I61" s="244">
        <f>'Bảng tính toán'!CD61</f>
        <v>0</v>
      </c>
      <c r="J61" s="244"/>
      <c r="K61" s="246">
        <f>'Bảng tính toán'!CF61</f>
        <v>114000</v>
      </c>
      <c r="L61" s="243" t="str">
        <f>'Danh muc'!F61</f>
        <v>9913 247 875</v>
      </c>
    </row>
    <row r="62" spans="1:13" s="245" customFormat="1" ht="33" hidden="1" customHeight="1">
      <c r="A62" s="241">
        <v>53</v>
      </c>
      <c r="B62" s="241">
        <f>'Danh muc'!B62</f>
        <v>0</v>
      </c>
      <c r="C62" s="242">
        <f>'Danh muc'!C62</f>
        <v>0</v>
      </c>
      <c r="D62" s="242">
        <f>'Danh muc'!E62</f>
        <v>0</v>
      </c>
      <c r="E62" s="243">
        <f>'Bảng tính toán'!BO62</f>
        <v>0</v>
      </c>
      <c r="F62" s="244">
        <f>'Bảng tính toán'!BP62</f>
        <v>0</v>
      </c>
      <c r="G62" s="244">
        <f>'Bảng tính toán'!BT62</f>
        <v>0</v>
      </c>
      <c r="H62" s="243">
        <f>'Bảng tính toán'!BR62</f>
        <v>0</v>
      </c>
      <c r="I62" s="244">
        <f>'Bảng tính toán'!CD62</f>
        <v>0</v>
      </c>
      <c r="J62" s="244"/>
      <c r="K62" s="246">
        <f>'Bảng tính toán'!CF62</f>
        <v>0</v>
      </c>
      <c r="L62" s="243">
        <f>'Danh muc'!F62</f>
        <v>0</v>
      </c>
    </row>
    <row r="63" spans="1:13" s="245" customFormat="1" ht="33" hidden="1" customHeight="1">
      <c r="A63" s="241">
        <v>54</v>
      </c>
      <c r="B63" s="241">
        <f>'Danh muc'!B63</f>
        <v>0</v>
      </c>
      <c r="C63" s="242">
        <f>'Danh muc'!C63</f>
        <v>0</v>
      </c>
      <c r="D63" s="242">
        <f>'Danh muc'!E63</f>
        <v>0</v>
      </c>
      <c r="E63" s="243">
        <f>'Bảng tính toán'!BO63</f>
        <v>0</v>
      </c>
      <c r="F63" s="244">
        <f>'Bảng tính toán'!BP63</f>
        <v>0</v>
      </c>
      <c r="G63" s="244">
        <f>'Bảng tính toán'!BT63</f>
        <v>0</v>
      </c>
      <c r="H63" s="243">
        <f>'Bảng tính toán'!BR63</f>
        <v>0</v>
      </c>
      <c r="I63" s="244">
        <f>'Bảng tính toán'!CD63</f>
        <v>0</v>
      </c>
      <c r="J63" s="244"/>
      <c r="K63" s="246">
        <f>'Bảng tính toán'!CF63</f>
        <v>0</v>
      </c>
      <c r="L63" s="243">
        <f>'Danh muc'!F63</f>
        <v>0</v>
      </c>
    </row>
    <row r="64" spans="1:13" s="245" customFormat="1" ht="33" hidden="1" customHeight="1">
      <c r="A64" s="241">
        <v>55</v>
      </c>
      <c r="B64" s="241">
        <f>'Danh muc'!B64</f>
        <v>0</v>
      </c>
      <c r="C64" s="242">
        <f>'Danh muc'!C64</f>
        <v>0</v>
      </c>
      <c r="D64" s="242">
        <f>'Danh muc'!E64</f>
        <v>0</v>
      </c>
      <c r="E64" s="243">
        <f>'Bảng tính toán'!BO64</f>
        <v>0</v>
      </c>
      <c r="F64" s="244">
        <f>'Bảng tính toán'!BP64</f>
        <v>0</v>
      </c>
      <c r="G64" s="244">
        <f>'Bảng tính toán'!BT64</f>
        <v>0</v>
      </c>
      <c r="H64" s="243">
        <f>'Bảng tính toán'!BR64</f>
        <v>0</v>
      </c>
      <c r="I64" s="244">
        <f>'Bảng tính toán'!CD64</f>
        <v>0</v>
      </c>
      <c r="J64" s="244"/>
      <c r="K64" s="246">
        <f>'Bảng tính toán'!CF64</f>
        <v>0</v>
      </c>
      <c r="L64" s="243">
        <f>'Danh muc'!F64</f>
        <v>0</v>
      </c>
    </row>
    <row r="65" spans="1:13" s="245" customFormat="1" ht="29.25" hidden="1" customHeight="1">
      <c r="A65" s="241">
        <f>'Danh muc'!A65</f>
        <v>0</v>
      </c>
      <c r="B65" s="241">
        <f>'Danh muc'!B65</f>
        <v>0</v>
      </c>
      <c r="C65" s="242"/>
      <c r="D65" s="242">
        <f>'Danh muc'!E65</f>
        <v>0</v>
      </c>
      <c r="E65" s="243">
        <f>'Bảng tính toán'!BO65</f>
        <v>0</v>
      </c>
      <c r="F65" s="244"/>
      <c r="G65" s="244">
        <f>'Bảng tính toán'!BT65</f>
        <v>0</v>
      </c>
      <c r="H65" s="243">
        <f>'Bảng tính toán'!BR65</f>
        <v>0</v>
      </c>
      <c r="I65" s="244">
        <f>'Bảng tính toán'!CD65</f>
        <v>0</v>
      </c>
      <c r="J65" s="244"/>
      <c r="K65" s="243"/>
      <c r="L65" s="246"/>
    </row>
    <row r="66" spans="1:13" s="245" customFormat="1" ht="29.25" hidden="1" customHeight="1">
      <c r="A66" s="241">
        <f>'Danh muc'!A66</f>
        <v>0</v>
      </c>
      <c r="B66" s="241"/>
      <c r="C66" s="242"/>
      <c r="D66" s="242"/>
      <c r="E66" s="243"/>
      <c r="F66" s="244"/>
      <c r="G66" s="244">
        <f>'Bảng tính toán'!BT66</f>
        <v>0</v>
      </c>
      <c r="H66" s="243">
        <f>'Bảng tính toán'!BR66</f>
        <v>0</v>
      </c>
      <c r="I66" s="244">
        <f>'Bảng tính toán'!CD66</f>
        <v>0</v>
      </c>
      <c r="J66" s="244"/>
      <c r="K66" s="243"/>
      <c r="L66" s="246"/>
    </row>
    <row r="67" spans="1:13" s="245" customFormat="1" ht="29.25" hidden="1" customHeight="1">
      <c r="A67" s="241">
        <f>'Danh muc'!A67</f>
        <v>0</v>
      </c>
      <c r="B67" s="241"/>
      <c r="C67" s="242"/>
      <c r="D67" s="242"/>
      <c r="E67" s="243"/>
      <c r="F67" s="244"/>
      <c r="G67" s="244">
        <f>'Bảng tính toán'!BT67</f>
        <v>0</v>
      </c>
      <c r="H67" s="243">
        <f>'Bảng tính toán'!BR67</f>
        <v>0</v>
      </c>
      <c r="I67" s="244">
        <f>'Bảng tính toán'!CD67</f>
        <v>0</v>
      </c>
      <c r="J67" s="244"/>
      <c r="K67" s="243"/>
      <c r="L67" s="246"/>
    </row>
    <row r="68" spans="1:13" s="245" customFormat="1" ht="29.25" hidden="1" customHeight="1">
      <c r="A68" s="241">
        <f>'Danh muc'!A68</f>
        <v>0</v>
      </c>
      <c r="B68" s="241"/>
      <c r="C68" s="242"/>
      <c r="D68" s="242"/>
      <c r="E68" s="243"/>
      <c r="F68" s="244"/>
      <c r="G68" s="244">
        <f>'Bảng tính toán'!BT68</f>
        <v>0</v>
      </c>
      <c r="H68" s="243">
        <f>'Bảng tính toán'!BR68</f>
        <v>0</v>
      </c>
      <c r="I68" s="244">
        <f>'Bảng tính toán'!CD68</f>
        <v>0</v>
      </c>
      <c r="J68" s="244"/>
      <c r="K68" s="243"/>
      <c r="L68" s="246"/>
    </row>
    <row r="69" spans="1:13" s="245" customFormat="1" ht="29.25" hidden="1" customHeight="1">
      <c r="A69" s="241">
        <f>'Danh muc'!A69</f>
        <v>0</v>
      </c>
      <c r="B69" s="241"/>
      <c r="C69" s="242"/>
      <c r="D69" s="242"/>
      <c r="E69" s="243"/>
      <c r="F69" s="244"/>
      <c r="G69" s="244">
        <f>'Bảng tính toán'!BT69</f>
        <v>0</v>
      </c>
      <c r="H69" s="243">
        <f>'Bảng tính toán'!BR69</f>
        <v>0</v>
      </c>
      <c r="I69" s="244">
        <f>'Bảng tính toán'!CD69</f>
        <v>0</v>
      </c>
      <c r="J69" s="244"/>
      <c r="K69" s="243"/>
      <c r="L69" s="246"/>
    </row>
    <row r="70" spans="1:13" s="245" customFormat="1" ht="29.25" hidden="1" customHeight="1">
      <c r="A70" s="241">
        <f>'Danh muc'!A70</f>
        <v>0</v>
      </c>
      <c r="B70" s="241">
        <f>'Danh muc'!B70</f>
        <v>0</v>
      </c>
      <c r="C70" s="242">
        <f>'Danh muc'!C70</f>
        <v>0</v>
      </c>
      <c r="D70" s="242">
        <f>'Danh muc'!E70</f>
        <v>0</v>
      </c>
      <c r="E70" s="243">
        <f>'Bảng tính toán'!BO70</f>
        <v>0</v>
      </c>
      <c r="F70" s="244">
        <f>'Bảng tính toán'!BP70</f>
        <v>0</v>
      </c>
      <c r="G70" s="244">
        <f>'Bảng tính toán'!BT70</f>
        <v>0</v>
      </c>
      <c r="H70" s="243">
        <f>'Bảng tính toán'!BR70</f>
        <v>0</v>
      </c>
      <c r="I70" s="244">
        <f>'Bảng tính toán'!CD70</f>
        <v>0</v>
      </c>
      <c r="J70" s="244">
        <f>'Bảng tính toán'!BM70</f>
        <v>0</v>
      </c>
      <c r="K70" s="243">
        <f>'Bảng tính toán'!CF70</f>
        <v>0</v>
      </c>
      <c r="L70" s="246"/>
    </row>
    <row r="71" spans="1:13" s="245" customFormat="1" ht="29.25" hidden="1" customHeight="1">
      <c r="A71" s="241">
        <f>'Danh muc'!A71</f>
        <v>0</v>
      </c>
      <c r="B71" s="241">
        <f>'Danh muc'!B71</f>
        <v>0</v>
      </c>
      <c r="C71" s="242">
        <f>'Danh muc'!C71</f>
        <v>0</v>
      </c>
      <c r="D71" s="242">
        <f>'Danh muc'!E71</f>
        <v>0</v>
      </c>
      <c r="E71" s="243">
        <f>'Bảng tính toán'!BO71</f>
        <v>0</v>
      </c>
      <c r="F71" s="244">
        <f>'Bảng tính toán'!BP71</f>
        <v>0</v>
      </c>
      <c r="G71" s="244">
        <f>'Bảng tính toán'!BT71</f>
        <v>0</v>
      </c>
      <c r="H71" s="243">
        <f>'Bảng tính toán'!BR71</f>
        <v>0</v>
      </c>
      <c r="I71" s="244">
        <f>'Bảng tính toán'!CD71</f>
        <v>0</v>
      </c>
      <c r="J71" s="244">
        <f>'Bảng tính toán'!BM71</f>
        <v>0</v>
      </c>
      <c r="K71" s="243">
        <f>'Bảng tính toán'!CF71</f>
        <v>0</v>
      </c>
      <c r="L71" s="246"/>
    </row>
    <row r="72" spans="1:13" s="245" customFormat="1" ht="29.25" hidden="1" customHeight="1">
      <c r="A72" s="241">
        <f>'Danh muc'!A72</f>
        <v>0</v>
      </c>
      <c r="B72" s="241">
        <f>'Danh muc'!B72</f>
        <v>0</v>
      </c>
      <c r="C72" s="242">
        <f>'Danh muc'!C72</f>
        <v>0</v>
      </c>
      <c r="D72" s="242">
        <f>'Danh muc'!E72</f>
        <v>0</v>
      </c>
      <c r="E72" s="243">
        <f>'Bảng tính toán'!BO72</f>
        <v>0</v>
      </c>
      <c r="F72" s="244">
        <f>'Bảng tính toán'!BP72</f>
        <v>0</v>
      </c>
      <c r="G72" s="244">
        <f>'Bảng tính toán'!BT72</f>
        <v>0</v>
      </c>
      <c r="H72" s="243">
        <f>'Bảng tính toán'!BR72</f>
        <v>0</v>
      </c>
      <c r="I72" s="244">
        <f>'Bảng tính toán'!CD72</f>
        <v>0</v>
      </c>
      <c r="J72" s="244">
        <f>'Bảng tính toán'!BM72</f>
        <v>0</v>
      </c>
      <c r="K72" s="243">
        <f>'Bảng tính toán'!CF72</f>
        <v>0</v>
      </c>
      <c r="L72" s="246"/>
    </row>
    <row r="73" spans="1:13" s="245" customFormat="1" ht="29.25" hidden="1" customHeight="1">
      <c r="A73" s="241">
        <f>'Danh muc'!A73</f>
        <v>0</v>
      </c>
      <c r="B73" s="241">
        <f>'Danh muc'!B73</f>
        <v>0</v>
      </c>
      <c r="C73" s="242">
        <f>'Danh muc'!C73</f>
        <v>0</v>
      </c>
      <c r="D73" s="242">
        <f>'Danh muc'!E73</f>
        <v>0</v>
      </c>
      <c r="E73" s="243">
        <f>'Bảng tính toán'!BO73</f>
        <v>0</v>
      </c>
      <c r="F73" s="244">
        <f>'Bảng tính toán'!BP73</f>
        <v>0</v>
      </c>
      <c r="G73" s="244">
        <f>'Bảng tính toán'!BT73</f>
        <v>0</v>
      </c>
      <c r="H73" s="243">
        <f>'Bảng tính toán'!BR73</f>
        <v>0</v>
      </c>
      <c r="I73" s="244">
        <f>'Bảng tính toán'!CD73</f>
        <v>0</v>
      </c>
      <c r="J73" s="244">
        <f>'Bảng tính toán'!BM73</f>
        <v>0</v>
      </c>
      <c r="K73" s="243">
        <f>'Bảng tính toán'!CF73</f>
        <v>0</v>
      </c>
      <c r="L73" s="246"/>
    </row>
    <row r="74" spans="1:13" s="245" customFormat="1" ht="29.25" hidden="1" customHeight="1">
      <c r="A74" s="241">
        <f>'Danh muc'!A74</f>
        <v>0</v>
      </c>
      <c r="B74" s="241">
        <f>'Danh muc'!B74</f>
        <v>0</v>
      </c>
      <c r="C74" s="242">
        <f>'Danh muc'!C74</f>
        <v>0</v>
      </c>
      <c r="D74" s="242">
        <f>'Danh muc'!E74</f>
        <v>0</v>
      </c>
      <c r="E74" s="243">
        <f>'Bảng tính toán'!BO74</f>
        <v>0</v>
      </c>
      <c r="F74" s="244">
        <f>'Bảng tính toán'!BP74</f>
        <v>0</v>
      </c>
      <c r="G74" s="244">
        <f>'Bảng tính toán'!BT74</f>
        <v>0</v>
      </c>
      <c r="H74" s="243">
        <f>'Bảng tính toán'!BR74</f>
        <v>0</v>
      </c>
      <c r="I74" s="244">
        <f>'Bảng tính toán'!CD74</f>
        <v>0</v>
      </c>
      <c r="J74" s="244">
        <f>'Bảng tính toán'!BM74</f>
        <v>0</v>
      </c>
      <c r="K74" s="243">
        <f>'Bảng tính toán'!CF74</f>
        <v>0</v>
      </c>
      <c r="L74" s="246"/>
    </row>
    <row r="75" spans="1:13" s="245" customFormat="1" ht="29.25" hidden="1" customHeight="1">
      <c r="A75" s="241">
        <f>'Danh muc'!A75</f>
        <v>0</v>
      </c>
      <c r="B75" s="241">
        <f>'Danh muc'!B75</f>
        <v>0</v>
      </c>
      <c r="C75" s="242">
        <f>'Danh muc'!C75</f>
        <v>0</v>
      </c>
      <c r="D75" s="242">
        <f>'Danh muc'!E75</f>
        <v>0</v>
      </c>
      <c r="E75" s="243">
        <f>'Bảng tính toán'!BO75</f>
        <v>0</v>
      </c>
      <c r="F75" s="244">
        <f>'Bảng tính toán'!BP75</f>
        <v>0</v>
      </c>
      <c r="G75" s="244">
        <f>'Bảng tính toán'!BT75</f>
        <v>0</v>
      </c>
      <c r="H75" s="243">
        <f>'Bảng tính toán'!BR75</f>
        <v>0</v>
      </c>
      <c r="I75" s="244">
        <f>'Bảng tính toán'!CD75</f>
        <v>0</v>
      </c>
      <c r="J75" s="244">
        <f>'Bảng tính toán'!BM75</f>
        <v>0</v>
      </c>
      <c r="K75" s="243">
        <f>'Bảng tính toán'!CF75</f>
        <v>0</v>
      </c>
      <c r="L75" s="246"/>
    </row>
    <row r="76" spans="1:13" s="256" customFormat="1" ht="32.25" customHeight="1">
      <c r="A76" s="454" t="s">
        <v>3</v>
      </c>
      <c r="B76" s="455"/>
      <c r="C76" s="455"/>
      <c r="D76" s="456"/>
      <c r="E76" s="247">
        <f t="shared" ref="E76:J76" si="0">SUM(E8:E75)</f>
        <v>96947527.149321288</v>
      </c>
      <c r="F76" s="247">
        <f t="shared" si="0"/>
        <v>36857100</v>
      </c>
      <c r="G76" s="247">
        <f t="shared" si="0"/>
        <v>1701050</v>
      </c>
      <c r="H76" s="247">
        <f t="shared" si="0"/>
        <v>0</v>
      </c>
      <c r="I76" s="247">
        <f t="shared" si="0"/>
        <v>0</v>
      </c>
      <c r="J76" s="247">
        <f t="shared" si="0"/>
        <v>0</v>
      </c>
      <c r="K76" s="247">
        <f>SUM(K8:K75)</f>
        <v>58365000</v>
      </c>
      <c r="L76" s="247"/>
      <c r="M76" s="296">
        <f>M77+M78</f>
        <v>58365000</v>
      </c>
    </row>
    <row r="77" spans="1:13" s="256" customFormat="1" ht="33.75" customHeight="1">
      <c r="B77" s="273"/>
      <c r="C77" s="273"/>
      <c r="D77" s="273"/>
      <c r="E77" s="273"/>
      <c r="F77" s="273"/>
      <c r="G77" s="457" t="s">
        <v>257</v>
      </c>
      <c r="H77" s="457"/>
      <c r="I77" s="457"/>
      <c r="J77" s="457"/>
      <c r="K77" s="248">
        <f>'Danh muc'!W104+'Danh muc'!X104</f>
        <v>112326400</v>
      </c>
      <c r="L77" s="248"/>
      <c r="M77" s="296">
        <f>'CHUYỂN KHOẢN'!$E$73</f>
        <v>58365000</v>
      </c>
    </row>
    <row r="78" spans="1:13" s="256" customFormat="1" ht="33.75" customHeight="1">
      <c r="A78" s="285"/>
      <c r="B78" s="468"/>
      <c r="C78" s="468"/>
      <c r="D78" s="468"/>
      <c r="E78" s="468"/>
      <c r="F78" s="469" t="s">
        <v>258</v>
      </c>
      <c r="G78" s="469"/>
      <c r="H78" s="469"/>
      <c r="I78" s="469"/>
      <c r="J78" s="469"/>
      <c r="K78" s="248">
        <f>G76*4</f>
        <v>6804200</v>
      </c>
      <c r="L78" s="274"/>
      <c r="M78" s="296">
        <f>'TIỀN MẶT'!$F$74</f>
        <v>0</v>
      </c>
    </row>
    <row r="79" spans="1:13" s="256" customFormat="1" ht="33.75" customHeight="1">
      <c r="A79" s="273"/>
      <c r="B79" s="273"/>
      <c r="C79" s="273"/>
      <c r="D79" s="273"/>
      <c r="E79" s="273"/>
      <c r="F79" s="458" t="s">
        <v>315</v>
      </c>
      <c r="G79" s="458"/>
      <c r="H79" s="458"/>
      <c r="I79" s="458"/>
      <c r="J79" s="458"/>
      <c r="K79" s="248">
        <f>G76</f>
        <v>1701050</v>
      </c>
      <c r="L79" s="248"/>
      <c r="M79" s="245"/>
    </row>
    <row r="80" spans="1:13" s="256" customFormat="1" ht="34.5" customHeight="1">
      <c r="A80" s="273"/>
      <c r="B80" s="468"/>
      <c r="C80" s="468"/>
      <c r="D80" s="468"/>
      <c r="E80" s="468"/>
      <c r="F80" s="468"/>
      <c r="G80" s="458" t="s">
        <v>3</v>
      </c>
      <c r="H80" s="458"/>
      <c r="I80" s="458"/>
      <c r="J80" s="458"/>
      <c r="K80" s="248">
        <f>K76+K77+K78+K79</f>
        <v>179196650</v>
      </c>
      <c r="L80" s="274"/>
      <c r="M80" s="245"/>
    </row>
    <row r="81" spans="1:13" s="256" customFormat="1" ht="9" customHeight="1">
      <c r="A81" s="249"/>
      <c r="B81" s="249"/>
      <c r="C81" s="249"/>
      <c r="D81" s="249"/>
      <c r="E81" s="248"/>
      <c r="F81" s="248"/>
      <c r="G81" s="248"/>
      <c r="H81" s="248"/>
      <c r="I81" s="248"/>
      <c r="J81" s="248"/>
      <c r="K81" s="248"/>
      <c r="L81" s="248"/>
      <c r="M81" s="245"/>
    </row>
    <row r="82" spans="1:13" s="287" customFormat="1" ht="21" customHeight="1">
      <c r="A82" s="250"/>
      <c r="B82" s="250"/>
      <c r="C82" s="250"/>
      <c r="D82" s="250"/>
      <c r="E82" s="251"/>
      <c r="F82" s="250"/>
      <c r="G82" s="252"/>
      <c r="H82" s="472" t="s">
        <v>326</v>
      </c>
      <c r="I82" s="472"/>
      <c r="J82" s="472"/>
      <c r="K82" s="472"/>
      <c r="L82" s="472"/>
      <c r="M82" s="250"/>
    </row>
    <row r="83" spans="1:13" s="287" customFormat="1" ht="22.5" customHeight="1">
      <c r="A83" s="473" t="s">
        <v>15</v>
      </c>
      <c r="B83" s="473"/>
      <c r="C83" s="473"/>
      <c r="D83" s="475" t="s">
        <v>327</v>
      </c>
      <c r="E83" s="475"/>
      <c r="F83" s="475"/>
      <c r="G83" s="475"/>
      <c r="H83" s="473" t="s">
        <v>16</v>
      </c>
      <c r="I83" s="473"/>
      <c r="J83" s="473"/>
      <c r="K83" s="473"/>
      <c r="L83" s="473"/>
      <c r="M83" s="250"/>
    </row>
    <row r="84" spans="1:13" s="287" customFormat="1" ht="22.5">
      <c r="A84" s="298"/>
      <c r="B84" s="298"/>
      <c r="C84" s="298"/>
      <c r="D84" s="298"/>
      <c r="E84" s="298"/>
      <c r="F84" s="298"/>
      <c r="G84" s="298"/>
      <c r="H84" s="298"/>
      <c r="I84" s="298"/>
      <c r="J84" s="298"/>
      <c r="K84" s="298"/>
      <c r="L84" s="298"/>
      <c r="M84" s="250"/>
    </row>
    <row r="85" spans="1:13" s="287" customFormat="1" ht="22.5">
      <c r="A85" s="298"/>
      <c r="B85" s="298"/>
      <c r="C85" s="298"/>
      <c r="D85" s="298"/>
      <c r="E85" s="298"/>
      <c r="F85" s="298"/>
      <c r="G85" s="298"/>
      <c r="H85" s="298"/>
      <c r="I85" s="298"/>
      <c r="J85" s="298"/>
      <c r="K85" s="298"/>
      <c r="L85" s="298"/>
      <c r="M85" s="250"/>
    </row>
    <row r="86" spans="1:13" s="287" customFormat="1" ht="22.5">
      <c r="A86" s="298"/>
      <c r="B86" s="298"/>
      <c r="C86" s="298"/>
      <c r="D86" s="298"/>
      <c r="E86" s="298"/>
      <c r="F86" s="298"/>
      <c r="G86" s="298"/>
      <c r="H86" s="298"/>
      <c r="I86" s="298"/>
      <c r="J86" s="298"/>
      <c r="K86" s="298"/>
      <c r="L86" s="298"/>
      <c r="M86" s="250"/>
    </row>
    <row r="87" spans="1:13" s="288" customFormat="1" ht="18.75" customHeight="1">
      <c r="A87" s="473" t="s">
        <v>173</v>
      </c>
      <c r="B87" s="473"/>
      <c r="C87" s="473"/>
      <c r="D87" s="473" t="s">
        <v>2</v>
      </c>
      <c r="E87" s="473"/>
      <c r="F87" s="473"/>
      <c r="G87" s="473"/>
      <c r="H87" s="473" t="s">
        <v>325</v>
      </c>
      <c r="I87" s="473"/>
      <c r="J87" s="473"/>
      <c r="K87" s="473"/>
      <c r="L87" s="473"/>
      <c r="M87" s="253"/>
    </row>
    <row r="88" spans="1:13" s="287" customFormat="1" ht="36.75" customHeight="1">
      <c r="A88" s="474"/>
      <c r="B88" s="474"/>
      <c r="C88" s="474"/>
      <c r="D88" s="474"/>
      <c r="E88" s="474"/>
      <c r="F88" s="474"/>
      <c r="G88" s="474"/>
      <c r="H88" s="474"/>
      <c r="I88" s="474"/>
      <c r="J88" s="474"/>
      <c r="K88" s="474"/>
      <c r="L88" s="474"/>
      <c r="M88" s="250"/>
    </row>
    <row r="89" spans="1:13" s="288" customFormat="1" ht="60" customHeight="1">
      <c r="A89" s="470"/>
      <c r="B89" s="470"/>
      <c r="C89" s="470"/>
      <c r="D89" s="253"/>
      <c r="E89" s="253"/>
      <c r="F89" s="254"/>
      <c r="G89" s="253"/>
      <c r="H89" s="471"/>
      <c r="I89" s="471"/>
      <c r="J89" s="471"/>
      <c r="K89" s="471"/>
      <c r="L89" s="471"/>
      <c r="M89" s="253"/>
    </row>
    <row r="90" spans="1:13" s="7" customFormat="1">
      <c r="A90" s="255"/>
      <c r="B90" s="255"/>
      <c r="C90" s="255"/>
      <c r="D90" s="255"/>
      <c r="E90" s="255"/>
      <c r="F90" s="255"/>
      <c r="G90" s="255"/>
      <c r="H90" s="255"/>
      <c r="I90" s="255"/>
      <c r="J90" s="245"/>
      <c r="K90" s="255"/>
      <c r="L90" s="255"/>
      <c r="M90" s="255"/>
    </row>
    <row r="91" spans="1:13" s="7" customFormat="1">
      <c r="J91" s="256"/>
      <c r="M91" s="255"/>
    </row>
  </sheetData>
  <autoFilter ref="A7:M79" xr:uid="{00000000-0009-0000-0000-000008000000}"/>
  <mergeCells count="30">
    <mergeCell ref="B78:E78"/>
    <mergeCell ref="A89:C89"/>
    <mergeCell ref="H89:L89"/>
    <mergeCell ref="H82:L82"/>
    <mergeCell ref="A83:C83"/>
    <mergeCell ref="H83:L83"/>
    <mergeCell ref="A88:C88"/>
    <mergeCell ref="D88:G88"/>
    <mergeCell ref="H88:L88"/>
    <mergeCell ref="F79:J79"/>
    <mergeCell ref="A87:C87"/>
    <mergeCell ref="D87:G87"/>
    <mergeCell ref="H87:L87"/>
    <mergeCell ref="D83:G83"/>
    <mergeCell ref="A76:D76"/>
    <mergeCell ref="G77:J77"/>
    <mergeCell ref="G80:J80"/>
    <mergeCell ref="A3:L3"/>
    <mergeCell ref="A4:L4"/>
    <mergeCell ref="A6:A7"/>
    <mergeCell ref="B6:B7"/>
    <mergeCell ref="C6:C7"/>
    <mergeCell ref="D6:D7"/>
    <mergeCell ref="E6:E7"/>
    <mergeCell ref="F6:I6"/>
    <mergeCell ref="J6:J7"/>
    <mergeCell ref="K6:K7"/>
    <mergeCell ref="L6:L7"/>
    <mergeCell ref="B80:F80"/>
    <mergeCell ref="F78:J78"/>
  </mergeCells>
  <printOptions horizontalCentered="1"/>
  <pageMargins left="0.15748031496063" right="0" top="0.25" bottom="0.25" header="0" footer="0"/>
  <pageSetup paperSize="9" scale="70" orientation="landscape" r:id="rId1"/>
  <rowBreaks count="1" manualBreakCount="1">
    <brk id="28" max="11" man="1"/>
  </rowBreak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8"/>
  <dimension ref="A1:ABD79"/>
  <sheetViews>
    <sheetView showZeros="0" topLeftCell="A10" zoomScale="115" zoomScaleNormal="115" workbookViewId="0">
      <selection activeCell="F20" sqref="F20:G20"/>
    </sheetView>
  </sheetViews>
  <sheetFormatPr defaultColWidth="0.5703125" defaultRowHeight="15.75"/>
  <cols>
    <col min="1" max="1" width="4" style="28" customWidth="1"/>
    <col min="2" max="2" width="12" style="28" customWidth="1"/>
    <col min="3" max="3" width="15.28515625" style="28" customWidth="1"/>
    <col min="4" max="4" width="12.140625" style="28" customWidth="1"/>
    <col min="5" max="5" width="18.42578125" style="28" customWidth="1"/>
    <col min="6" max="6" width="7.85546875" style="28" customWidth="1"/>
    <col min="7" max="7" width="14.28515625" style="28" customWidth="1"/>
    <col min="8" max="8" width="0.140625" style="9" customWidth="1"/>
    <col min="9" max="254" width="9.140625" style="8" hidden="1" customWidth="1"/>
    <col min="255" max="16384" width="0.5703125" style="8"/>
  </cols>
  <sheetData>
    <row r="1" spans="1:8" s="26" customFormat="1" ht="5.25" customHeight="1" thickBot="1"/>
    <row r="2" spans="1:8" ht="19.5" customHeight="1" thickTop="1">
      <c r="A2" s="601" t="s">
        <v>372</v>
      </c>
      <c r="B2" s="602"/>
      <c r="C2" s="602"/>
      <c r="D2" s="602"/>
      <c r="E2" s="602"/>
      <c r="F2" s="602"/>
      <c r="G2" s="603"/>
      <c r="H2" s="10"/>
    </row>
    <row r="3" spans="1:8" ht="28.5" customHeight="1">
      <c r="A3" s="30" t="s">
        <v>122</v>
      </c>
      <c r="B3" s="302"/>
      <c r="C3" s="596" t="s">
        <v>309</v>
      </c>
      <c r="D3" s="596"/>
      <c r="E3" s="596"/>
      <c r="F3" s="303" t="s">
        <v>275</v>
      </c>
      <c r="G3" s="453">
        <f>VLOOKUP($C$3,'Danh muc'!$C$1:$E$106,2,0)</f>
        <v>25031700</v>
      </c>
    </row>
    <row r="4" spans="1:8" ht="18.75" customHeight="1" thickBot="1">
      <c r="A4" s="304" t="s">
        <v>26</v>
      </c>
      <c r="B4" s="305"/>
      <c r="C4" s="597" t="str">
        <f>VLOOKUP($C$3,'Danh muc'!$C$1:$E$106,3,0)</f>
        <v>Sản xuất</v>
      </c>
      <c r="D4" s="597"/>
      <c r="E4" s="598" t="s">
        <v>274</v>
      </c>
      <c r="F4" s="598"/>
      <c r="G4" s="306" t="s">
        <v>373</v>
      </c>
    </row>
    <row r="5" spans="1:8" ht="24.75" customHeight="1" thickTop="1">
      <c r="A5" s="604" t="s">
        <v>90</v>
      </c>
      <c r="B5" s="605"/>
      <c r="C5" s="605"/>
      <c r="D5" s="605"/>
      <c r="E5" s="605"/>
      <c r="F5" s="605"/>
      <c r="G5" s="606"/>
    </row>
    <row r="6" spans="1:8" s="18" customFormat="1" ht="24" customHeight="1">
      <c r="A6" s="31" t="s">
        <v>7</v>
      </c>
      <c r="B6" s="587" t="s">
        <v>27</v>
      </c>
      <c r="C6" s="588"/>
      <c r="D6" s="33" t="s">
        <v>123</v>
      </c>
      <c r="E6" s="32" t="s">
        <v>112</v>
      </c>
      <c r="F6" s="587" t="s">
        <v>10</v>
      </c>
      <c r="G6" s="588"/>
      <c r="H6" s="17"/>
    </row>
    <row r="7" spans="1:8" s="16" customFormat="1" ht="17.25" customHeight="1">
      <c r="A7" s="34" t="s">
        <v>28</v>
      </c>
      <c r="B7" s="575" t="s">
        <v>91</v>
      </c>
      <c r="C7" s="576"/>
      <c r="D7" s="576"/>
      <c r="E7" s="451">
        <f>VLOOKUP($C$3,'Bảng tính toán'!$C$7:$CH$78,65,0)</f>
        <v>750000</v>
      </c>
      <c r="F7" s="574"/>
      <c r="G7" s="574"/>
      <c r="H7" s="19"/>
    </row>
    <row r="8" spans="1:8" s="16" customFormat="1" ht="17.25" customHeight="1">
      <c r="A8" s="35">
        <v>1</v>
      </c>
      <c r="B8" s="589" t="s">
        <v>113</v>
      </c>
      <c r="C8" s="590"/>
      <c r="D8" s="81">
        <f>VLOOKUP($C$3,'Bảng tính toán'!$C$7:$CH$78,3,0)</f>
        <v>0</v>
      </c>
      <c r="E8" s="77">
        <f>VLOOKUP($C$3,'Bảng tính toán'!$C$7:$CH$78,4,0)</f>
        <v>0</v>
      </c>
      <c r="F8" s="567">
        <f>VLOOKUP($C$3,'Bảng tính toán'!$C$7:$CH$78,5,0)</f>
        <v>0</v>
      </c>
      <c r="G8" s="568"/>
      <c r="H8" s="19"/>
    </row>
    <row r="9" spans="1:8" s="16" customFormat="1" ht="15" customHeight="1">
      <c r="A9" s="35">
        <v>2</v>
      </c>
      <c r="B9" s="589" t="s">
        <v>114</v>
      </c>
      <c r="C9" s="590"/>
      <c r="D9" s="81">
        <f>VLOOKUP($C$3,'Bảng tính toán'!$C$7:$CH$78,6,0)</f>
        <v>0</v>
      </c>
      <c r="E9" s="77">
        <f>VLOOKUP($C$3,'Bảng tính toán'!$C$7:$CH$78,7,0)</f>
        <v>0</v>
      </c>
      <c r="F9" s="567">
        <f>VLOOKUP($C$3,'Bảng tính toán'!$C$7:$CH$78,8,0)</f>
        <v>0</v>
      </c>
      <c r="G9" s="568"/>
      <c r="H9" s="19"/>
    </row>
    <row r="10" spans="1:8" s="16" customFormat="1" ht="15" customHeight="1">
      <c r="A10" s="35">
        <v>3</v>
      </c>
      <c r="B10" s="589" t="s">
        <v>132</v>
      </c>
      <c r="C10" s="590"/>
      <c r="D10" s="81">
        <f>VLOOKUP($C$3,'Bảng tính toán'!$C$7:$CH$78,9,0)</f>
        <v>0</v>
      </c>
      <c r="E10" s="77">
        <f>VLOOKUP($C$3,'Bảng tính toán'!$C$7:$CH$78,10,0)</f>
        <v>0</v>
      </c>
      <c r="F10" s="567">
        <f>VLOOKUP($C$3,'Bảng tính toán'!$C$7:$CH$78,11,0)</f>
        <v>0</v>
      </c>
      <c r="G10" s="568"/>
      <c r="H10" s="19"/>
    </row>
    <row r="11" spans="1:8" s="16" customFormat="1" ht="15" customHeight="1">
      <c r="A11" s="35">
        <v>4</v>
      </c>
      <c r="B11" s="589" t="s">
        <v>70</v>
      </c>
      <c r="C11" s="590"/>
      <c r="D11" s="81">
        <f>VLOOKUP($C$3,'Bảng tính toán'!$C$7:$CH$78,12,0)</f>
        <v>0</v>
      </c>
      <c r="E11" s="77">
        <f>VLOOKUP($C$3,'Bảng tính toán'!$C$7:$CH$78,13,0)</f>
        <v>0</v>
      </c>
      <c r="F11" s="567">
        <f>VLOOKUP($C$3,'Bảng tính toán'!$C$7:$CH$78,14,0)</f>
        <v>0</v>
      </c>
      <c r="G11" s="568"/>
      <c r="H11" s="19"/>
    </row>
    <row r="12" spans="1:8" s="16" customFormat="1" ht="15" customHeight="1">
      <c r="A12" s="35">
        <v>5</v>
      </c>
      <c r="B12" s="589" t="s">
        <v>376</v>
      </c>
      <c r="C12" s="590"/>
      <c r="D12" s="81">
        <f>VLOOKUP($C$3,'Bảng tính toán'!$C$7:$CH$78,15,0)</f>
        <v>0</v>
      </c>
      <c r="E12" s="77">
        <f>VLOOKUP($C$3,'Bảng tính toán'!$C$7:$CH$78,16,0)</f>
        <v>0</v>
      </c>
      <c r="F12" s="567">
        <f>VLOOKUP($C$3,'Bảng tính toán'!$C$7:$CH$78,17,0)</f>
        <v>5500000</v>
      </c>
      <c r="G12" s="568"/>
      <c r="H12" s="19"/>
    </row>
    <row r="13" spans="1:8" s="16" customFormat="1" ht="15" customHeight="1">
      <c r="A13" s="35">
        <v>6</v>
      </c>
      <c r="B13" s="569" t="s">
        <v>44</v>
      </c>
      <c r="C13" s="570"/>
      <c r="D13" s="81">
        <f>VLOOKUP($C$3,'Bảng tính toán'!$C$7:$CH$78,18,0)</f>
        <v>0</v>
      </c>
      <c r="E13" s="77">
        <f>VLOOKUP($C$3,'Bảng tính toán'!$C$7:$CH$78,19,0)</f>
        <v>500000</v>
      </c>
      <c r="F13" s="567">
        <f>VLOOKUP($C$3,'Bảng tính toán'!$C$7:$CH$78,20,0)</f>
        <v>0</v>
      </c>
      <c r="G13" s="568"/>
      <c r="H13" s="19"/>
    </row>
    <row r="14" spans="1:8" s="16" customFormat="1" ht="15" customHeight="1">
      <c r="A14" s="35">
        <v>7</v>
      </c>
      <c r="B14" s="599" t="s">
        <v>375</v>
      </c>
      <c r="C14" s="600"/>
      <c r="D14" s="81">
        <f>VLOOKUP($C$3,'Bảng tính toán'!$C$7:$CH$78,21,0)</f>
        <v>0</v>
      </c>
      <c r="E14" s="77">
        <f>VLOOKUP($C$3,'Bảng tính toán'!$C$7:$CH$78,22,0)</f>
        <v>0</v>
      </c>
      <c r="F14" s="567">
        <f>VLOOKUP($C$3,'Bảng tính toán'!$C$7:$CH$78,23,0)</f>
        <v>0</v>
      </c>
      <c r="G14" s="568"/>
      <c r="H14" s="19"/>
    </row>
    <row r="15" spans="1:8" s="16" customFormat="1" ht="15" customHeight="1">
      <c r="A15" s="35">
        <v>8</v>
      </c>
      <c r="B15" s="569" t="s">
        <v>45</v>
      </c>
      <c r="C15" s="570"/>
      <c r="D15" s="81">
        <f>VLOOKUP($C$3,'Bảng tính toán'!$C$7:$CH$78,24,0)</f>
        <v>0</v>
      </c>
      <c r="E15" s="77">
        <f>VLOOKUP($C$3,'Bảng tính toán'!$C$7:$CH$78,25,0)</f>
        <v>38461.538461538461</v>
      </c>
      <c r="F15" s="567">
        <f>VLOOKUP($C$3,'Bảng tính toán'!$C$7:$CH$78,26,0)</f>
        <v>50000</v>
      </c>
      <c r="G15" s="568"/>
      <c r="H15" s="19"/>
    </row>
    <row r="16" spans="1:8" s="16" customFormat="1" ht="15" customHeight="1">
      <c r="A16" s="35">
        <v>9</v>
      </c>
      <c r="B16" s="591" t="s">
        <v>61</v>
      </c>
      <c r="C16" s="592"/>
      <c r="D16" s="81">
        <f>VLOOKUP($C$3,'Bảng tính toán'!$C$7:$CH$78,27,0)</f>
        <v>0</v>
      </c>
      <c r="E16" s="77">
        <f>VLOOKUP($C$3,'Bảng tính toán'!$C$7:$CH$78,28,0)</f>
        <v>0</v>
      </c>
      <c r="F16" s="567">
        <f>VLOOKUP($C$3,'Bảng tính toán'!$C$7:$CH$78,29,0)</f>
        <v>0</v>
      </c>
      <c r="G16" s="568"/>
      <c r="H16" s="19"/>
    </row>
    <row r="17" spans="1:8" s="16" customFormat="1" ht="15" customHeight="1">
      <c r="A17" s="35">
        <v>10</v>
      </c>
      <c r="B17" s="569" t="s">
        <v>115</v>
      </c>
      <c r="C17" s="570"/>
      <c r="D17" s="81">
        <f>VLOOKUP($C$3,'Bảng tính toán'!$C$7:$CH$78,30,0)</f>
        <v>0</v>
      </c>
      <c r="E17" s="77">
        <f>VLOOKUP($C$3,'Bảng tính toán'!$C$7:$CH$78,31,0)</f>
        <v>0</v>
      </c>
      <c r="F17" s="567">
        <f>VLOOKUP($C$3,'Bảng tính toán'!$C$7:$CH$78,32,0)</f>
        <v>0</v>
      </c>
      <c r="G17" s="568"/>
      <c r="H17" s="19"/>
    </row>
    <row r="18" spans="1:8" s="16" customFormat="1" ht="15" customHeight="1">
      <c r="A18" s="35">
        <v>11</v>
      </c>
      <c r="B18" s="569" t="s">
        <v>116</v>
      </c>
      <c r="C18" s="570"/>
      <c r="D18" s="81">
        <f>VLOOKUP($C$3,'Bảng tính toán'!$C$7:$CH$78,33,0)</f>
        <v>0</v>
      </c>
      <c r="E18" s="77">
        <f>VLOOKUP($C$3,'Bảng tính toán'!$C$7:$CH$78,34,0)</f>
        <v>0</v>
      </c>
      <c r="F18" s="567">
        <f>VLOOKUP($C$3,'Bảng tính toán'!$C$7:$CH$78,35,0)</f>
        <v>0</v>
      </c>
      <c r="G18" s="568"/>
      <c r="H18" s="19"/>
    </row>
    <row r="19" spans="1:8" s="16" customFormat="1" ht="15" customHeight="1">
      <c r="A19" s="35">
        <v>12</v>
      </c>
      <c r="B19" s="569" t="s">
        <v>62</v>
      </c>
      <c r="C19" s="570"/>
      <c r="D19" s="81">
        <f>VLOOKUP($C$3,'Bảng tính toán'!$C$7:$CH$78,36,0)</f>
        <v>0</v>
      </c>
      <c r="E19" s="77">
        <f>VLOOKUP($C$3,'Bảng tính toán'!$C$7:$CH$78,37,0)</f>
        <v>0</v>
      </c>
      <c r="F19" s="567">
        <f>VLOOKUP($C$3,'Bảng tính toán'!$C$7:$CH$78,38,0)</f>
        <v>0</v>
      </c>
      <c r="G19" s="568"/>
      <c r="H19" s="19"/>
    </row>
    <row r="20" spans="1:8" s="16" customFormat="1" ht="15" customHeight="1">
      <c r="A20" s="35">
        <v>13</v>
      </c>
      <c r="B20" s="569" t="s">
        <v>94</v>
      </c>
      <c r="C20" s="570"/>
      <c r="D20" s="81">
        <f>VLOOKUP($C$3,'Bảng tính toán'!$C$7:$CH$78,39,0)</f>
        <v>0</v>
      </c>
      <c r="E20" s="77">
        <f>VLOOKUP($C$3,'Bảng tính toán'!$C$7:$CH$78,40,0)</f>
        <v>0</v>
      </c>
      <c r="F20" s="567">
        <f>VLOOKUP($C$3,'Bảng tính toán'!$C$7:$CH$78,41,0)</f>
        <v>0</v>
      </c>
      <c r="G20" s="568"/>
      <c r="H20" s="19"/>
    </row>
    <row r="21" spans="1:8" s="16" customFormat="1" ht="15" customHeight="1">
      <c r="A21" s="35">
        <v>14</v>
      </c>
      <c r="B21" s="569" t="s">
        <v>96</v>
      </c>
      <c r="C21" s="570"/>
      <c r="D21" s="81">
        <f>VLOOKUP($C$3,'Bảng tính toán'!$C$7:$CH$78,42,0)</f>
        <v>1</v>
      </c>
      <c r="E21" s="77">
        <f>VLOOKUP($C$3,'Bảng tính toán'!$C$7:$CH$78,43,0)</f>
        <v>211538.46153846153</v>
      </c>
      <c r="F21" s="574">
        <f>VLOOKUP($C$3,'Bảng tính toán'!$C$7:$CH$78,44,0)</f>
        <v>0</v>
      </c>
      <c r="G21" s="574"/>
      <c r="H21" s="19"/>
    </row>
    <row r="22" spans="1:8" s="16" customFormat="1" ht="15" customHeight="1">
      <c r="A22" s="35">
        <v>15</v>
      </c>
      <c r="B22" s="569" t="s">
        <v>92</v>
      </c>
      <c r="C22" s="570"/>
      <c r="D22" s="81">
        <f>VLOOKUP($C$3,'Bảng tính toán'!$C$7:$CH$78,45,0)</f>
        <v>0</v>
      </c>
      <c r="E22" s="77">
        <f>VLOOKUP($C$3,'Bảng tính toán'!$C$7:$CH$78,47,0)</f>
        <v>0</v>
      </c>
      <c r="F22" s="573">
        <f>VLOOKUP($C$3,'Bảng tính toán'!$C$7:$CH$78,46,0)</f>
        <v>0</v>
      </c>
      <c r="G22" s="573"/>
      <c r="H22" s="19"/>
    </row>
    <row r="23" spans="1:8" s="16" customFormat="1" ht="15" customHeight="1">
      <c r="A23" s="35">
        <v>16</v>
      </c>
      <c r="B23" s="569" t="s">
        <v>110</v>
      </c>
      <c r="C23" s="570"/>
      <c r="D23" s="77">
        <f>VLOOKUP($C$3,'Bảng tính toán'!$C$7:$CH$78,49,0)</f>
        <v>0</v>
      </c>
      <c r="E23" s="77">
        <f>VLOOKUP($C$3,'Bảng tính toán'!$C$7:$CH$78,51,0)</f>
        <v>0</v>
      </c>
      <c r="F23" s="573">
        <f>VLOOKUP($C$3,'Bảng tính toán'!$C$7:$CH$78,50,0)</f>
        <v>0</v>
      </c>
      <c r="G23" s="573"/>
      <c r="H23" s="19"/>
    </row>
    <row r="24" spans="1:8" s="16" customFormat="1" ht="15" customHeight="1">
      <c r="A24" s="35">
        <v>17</v>
      </c>
      <c r="B24" s="569" t="s">
        <v>47</v>
      </c>
      <c r="C24" s="570"/>
      <c r="D24" s="77"/>
      <c r="E24" s="77">
        <f>VLOOKUP($C$3,'Bảng tính toán'!$C$7:$CH$78,53,0)</f>
        <v>0</v>
      </c>
      <c r="F24" s="574">
        <f>VLOOKUP($C$3,'Bảng tính toán'!$C$7:$CH$78,54,0)</f>
        <v>0</v>
      </c>
      <c r="G24" s="574"/>
      <c r="H24" s="19"/>
    </row>
    <row r="25" spans="1:8" s="16" customFormat="1" ht="15" customHeight="1">
      <c r="A25" s="35">
        <v>18</v>
      </c>
      <c r="B25" s="569" t="s">
        <v>46</v>
      </c>
      <c r="C25" s="570"/>
      <c r="D25" s="77"/>
      <c r="E25" s="77">
        <f>VLOOKUP($C$3,'Bảng tính toán'!$C$7:$CH$78,55,0)</f>
        <v>0</v>
      </c>
      <c r="F25" s="574">
        <f>VLOOKUP($C$3,'Bảng tính toán'!$C$7:$CH$78,56,0)</f>
        <v>0</v>
      </c>
      <c r="G25" s="574"/>
      <c r="H25" s="19"/>
    </row>
    <row r="26" spans="1:8" s="16" customFormat="1" ht="15" customHeight="1">
      <c r="A26" s="35">
        <v>19</v>
      </c>
      <c r="B26" s="569" t="s">
        <v>76</v>
      </c>
      <c r="C26" s="570"/>
      <c r="D26" s="77"/>
      <c r="E26" s="77">
        <f>VLOOKUP($C$3,'Bảng tính toán'!$C$7:$CH$78,57,0)</f>
        <v>0</v>
      </c>
      <c r="F26" s="583">
        <f>VLOOKUP($C$3,'Bảng tính toán'!$C$7:$CH$78,58,0)</f>
        <v>0</v>
      </c>
      <c r="G26" s="584"/>
      <c r="H26" s="19"/>
    </row>
    <row r="27" spans="1:8" s="16" customFormat="1" ht="15" customHeight="1">
      <c r="A27" s="35">
        <v>20</v>
      </c>
      <c r="B27" s="599" t="s">
        <v>330</v>
      </c>
      <c r="C27" s="600"/>
      <c r="D27" s="77"/>
      <c r="E27" s="77">
        <f>VLOOKUP($C$3,'Bảng tính toán'!$C$7:$CH$78,59,0)</f>
        <v>0</v>
      </c>
      <c r="F27" s="583">
        <f>VLOOKUP($C$3,'Bảng tính toán'!$C$7:$CH$78,60,0)</f>
        <v>0</v>
      </c>
      <c r="G27" s="584"/>
      <c r="H27" s="19"/>
    </row>
    <row r="28" spans="1:8" s="16" customFormat="1" ht="15" customHeight="1">
      <c r="A28" s="35">
        <v>21</v>
      </c>
      <c r="B28" s="569" t="s">
        <v>75</v>
      </c>
      <c r="C28" s="570"/>
      <c r="D28" s="77"/>
      <c r="E28" s="77">
        <f>VLOOKUP($C$3,'Bảng tính toán'!$C$7:$CH$78,61,0)</f>
        <v>0</v>
      </c>
      <c r="F28" s="583">
        <f>VLOOKUP($C$3,'Bảng tính toán'!$C$7:$CH$78,62,0)</f>
        <v>0</v>
      </c>
      <c r="G28" s="584"/>
      <c r="H28" s="19"/>
    </row>
    <row r="29" spans="1:8" s="16" customFormat="1" ht="15" customHeight="1">
      <c r="A29" s="35">
        <v>22</v>
      </c>
      <c r="B29" s="569" t="s">
        <v>276</v>
      </c>
      <c r="C29" s="570"/>
      <c r="D29" s="77"/>
      <c r="E29" s="77">
        <f>VLOOKUP($C$3,'Bảng tính toán'!$C$7:$CH$78,63,0)</f>
        <v>0</v>
      </c>
      <c r="F29" s="583">
        <f>VLOOKUP($C$3,'Bảng tính toán'!$C$7:$CH$78,64,0)</f>
        <v>0</v>
      </c>
      <c r="G29" s="584"/>
      <c r="H29" s="19"/>
    </row>
    <row r="30" spans="1:8" s="16" customFormat="1" ht="19.5" customHeight="1">
      <c r="A30" s="34" t="s">
        <v>29</v>
      </c>
      <c r="B30" s="612" t="s">
        <v>32</v>
      </c>
      <c r="C30" s="612"/>
      <c r="D30" s="612"/>
      <c r="E30" s="78">
        <f>SUM(E31:E38)</f>
        <v>605000</v>
      </c>
      <c r="F30" s="574"/>
      <c r="G30" s="574"/>
      <c r="H30" s="19"/>
    </row>
    <row r="31" spans="1:8" s="16" customFormat="1" ht="15" customHeight="1">
      <c r="A31" s="35">
        <v>1</v>
      </c>
      <c r="B31" s="569" t="s">
        <v>93</v>
      </c>
      <c r="C31" s="570"/>
      <c r="D31" s="77"/>
      <c r="E31" s="77">
        <f>VLOOKUP($C$3,'Bảng tính toán'!$C$7:$CH$78,66,0)</f>
        <v>577500</v>
      </c>
      <c r="F31" s="574">
        <f>VLOOKUP($C$3,'Bảng tính toán'!$C$7:$CH$78,67,0)</f>
        <v>0</v>
      </c>
      <c r="G31" s="574"/>
      <c r="H31" s="19"/>
    </row>
    <row r="32" spans="1:8" s="16" customFormat="1" ht="15" customHeight="1">
      <c r="A32" s="35">
        <v>2</v>
      </c>
      <c r="B32" s="569" t="s">
        <v>34</v>
      </c>
      <c r="C32" s="570"/>
      <c r="D32" s="79"/>
      <c r="E32" s="77">
        <f>VLOOKUP($C$3,'Bảng tính toán'!$C$7:$CH$78,68,0)</f>
        <v>0</v>
      </c>
      <c r="F32" s="574">
        <f>VLOOKUP($C$3,'Bảng tính toán'!$C$7:$CH$78,69,0)</f>
        <v>0</v>
      </c>
      <c r="G32" s="574"/>
      <c r="H32" s="19"/>
    </row>
    <row r="33" spans="1:732" s="16" customFormat="1" ht="15" customHeight="1">
      <c r="A33" s="35">
        <v>3</v>
      </c>
      <c r="B33" s="571" t="s">
        <v>316</v>
      </c>
      <c r="C33" s="572"/>
      <c r="D33" s="80">
        <f>VLOOKUP($C$3,'Bảng tính toán'!$C$7:$CH$78,69,0)</f>
        <v>0</v>
      </c>
      <c r="E33" s="77">
        <f>VLOOKUP($C$3,'Bảng tính toán'!$C$7:$CH$78,70,0)</f>
        <v>27500</v>
      </c>
      <c r="F33" s="574">
        <f>VLOOKUP($C$3,'Bảng tính toán'!$C$7:$CH$78,71,0)</f>
        <v>0</v>
      </c>
      <c r="G33" s="574"/>
      <c r="H33" s="19"/>
    </row>
    <row r="34" spans="1:732" s="16" customFormat="1" ht="15" customHeight="1">
      <c r="A34" s="35">
        <v>4</v>
      </c>
      <c r="B34" s="569" t="s">
        <v>118</v>
      </c>
      <c r="C34" s="570"/>
      <c r="D34" s="81">
        <f>VLOOKUP($C$3,'Bảng tính toán'!$C$7:$CH$78,72,0)</f>
        <v>0</v>
      </c>
      <c r="E34" s="77"/>
      <c r="F34" s="574">
        <f>VLOOKUP($C$3,'Bảng tính toán'!$C$7:$CH$78,73,0)</f>
        <v>0</v>
      </c>
      <c r="G34" s="574"/>
      <c r="H34" s="19"/>
    </row>
    <row r="35" spans="1:732" s="16" customFormat="1" ht="15" customHeight="1">
      <c r="A35" s="35">
        <v>5</v>
      </c>
      <c r="B35" s="569" t="s">
        <v>119</v>
      </c>
      <c r="C35" s="570"/>
      <c r="D35" s="81">
        <f>VLOOKUP($C$3,'Bảng tính toán'!$C$7:$CH$78,74,0)</f>
        <v>0</v>
      </c>
      <c r="E35" s="77"/>
      <c r="F35" s="574">
        <f>VLOOKUP($C$3,'Bảng tính toán'!$C$7:$CH$78,75,0)</f>
        <v>0</v>
      </c>
      <c r="G35" s="574"/>
      <c r="H35" s="19"/>
    </row>
    <row r="36" spans="1:732" s="16" customFormat="1" ht="15" customHeight="1">
      <c r="A36" s="35">
        <v>6</v>
      </c>
      <c r="B36" s="569" t="s">
        <v>65</v>
      </c>
      <c r="C36" s="570"/>
      <c r="D36" s="81">
        <f>VLOOKUP($C$3,'Bảng tính toán'!$C$7:$CH$78,76,0)</f>
        <v>0</v>
      </c>
      <c r="E36" s="77"/>
      <c r="F36" s="574">
        <f>VLOOKUP($C$3,'Bảng tính toán'!$C$7:$CH$78,77,0)</f>
        <v>0</v>
      </c>
      <c r="G36" s="574"/>
      <c r="H36" s="19"/>
    </row>
    <row r="37" spans="1:732" s="16" customFormat="1" ht="15" customHeight="1">
      <c r="A37" s="35">
        <v>7</v>
      </c>
      <c r="B37" s="569" t="s">
        <v>120</v>
      </c>
      <c r="C37" s="570"/>
      <c r="D37" s="81">
        <f>VLOOKUP($C$3,'Bảng tính toán'!$C$7:$CH$78,78,0)</f>
        <v>0</v>
      </c>
      <c r="E37" s="77"/>
      <c r="F37" s="574">
        <f>VLOOKUP($C$3,'Bảng tính toán'!$C$7:$CH$78,79,0)</f>
        <v>0</v>
      </c>
      <c r="G37" s="574"/>
      <c r="H37" s="19"/>
    </row>
    <row r="38" spans="1:732" s="16" customFormat="1" ht="15" customHeight="1">
      <c r="A38" s="35">
        <v>8</v>
      </c>
      <c r="B38" s="599" t="s">
        <v>378</v>
      </c>
      <c r="C38" s="600"/>
      <c r="D38" s="81"/>
      <c r="E38" s="77">
        <f>VLOOKUP($C$3,'Bảng tính toán'!$C$7:$CH$78,80,0)</f>
        <v>0</v>
      </c>
      <c r="F38" s="574">
        <f>VLOOKUP($C$3,'Bảng tính toán'!$C$7:$CH$78,81,0)</f>
        <v>0</v>
      </c>
      <c r="G38" s="574"/>
      <c r="H38" s="19"/>
    </row>
    <row r="39" spans="1:732" s="329" customFormat="1" ht="15" customHeight="1">
      <c r="A39" s="34" t="s">
        <v>30</v>
      </c>
      <c r="B39" s="575" t="s">
        <v>374</v>
      </c>
      <c r="C39" s="576"/>
      <c r="D39" s="576"/>
      <c r="E39" s="330"/>
      <c r="F39" s="607"/>
      <c r="G39" s="607"/>
      <c r="H39" s="328"/>
    </row>
    <row r="40" spans="1:732" s="28" customFormat="1" ht="30" customHeight="1">
      <c r="A40" s="334">
        <v>1</v>
      </c>
      <c r="B40" s="577" t="s">
        <v>278</v>
      </c>
      <c r="C40" s="578"/>
      <c r="D40" s="579"/>
      <c r="E40" s="331">
        <f>21.5%*$F$12</f>
        <v>1182500</v>
      </c>
      <c r="F40" s="610"/>
      <c r="G40" s="611"/>
      <c r="H40" s="40"/>
      <c r="I40" s="52"/>
      <c r="J40" s="52"/>
      <c r="K40" s="52"/>
      <c r="L40" s="52"/>
      <c r="M40" s="52"/>
      <c r="N40" s="52"/>
      <c r="O40" s="52"/>
      <c r="IU40" s="8"/>
      <c r="IV40" s="8"/>
      <c r="IW40" s="8"/>
      <c r="IX40" s="8"/>
      <c r="IY40" s="8"/>
      <c r="IZ40" s="8"/>
      <c r="JA40" s="8"/>
      <c r="JB40" s="8"/>
      <c r="JC40" s="8"/>
      <c r="JD40" s="8"/>
      <c r="JE40" s="8"/>
      <c r="JF40" s="8"/>
      <c r="JG40" s="8"/>
      <c r="JH40" s="8"/>
      <c r="JI40" s="8"/>
      <c r="JJ40" s="8"/>
      <c r="JK40" s="8"/>
      <c r="JL40" s="8"/>
      <c r="JM40" s="8"/>
      <c r="JN40" s="8"/>
      <c r="JO40" s="8"/>
      <c r="JP40" s="8"/>
      <c r="JQ40" s="8"/>
      <c r="JR40" s="8"/>
      <c r="JS40" s="8"/>
      <c r="JT40" s="8"/>
      <c r="JU40" s="8"/>
      <c r="JV40" s="8"/>
      <c r="JW40" s="8"/>
      <c r="JX40" s="8"/>
      <c r="JY40" s="8"/>
      <c r="JZ40" s="8"/>
      <c r="KA40" s="8"/>
      <c r="KB40" s="8"/>
      <c r="KC40" s="8"/>
      <c r="KD40" s="8"/>
      <c r="KE40" s="8"/>
      <c r="KF40" s="8"/>
      <c r="KG40" s="8"/>
      <c r="KH40" s="8"/>
      <c r="KI40" s="8"/>
      <c r="KJ40" s="8"/>
      <c r="KK40" s="8"/>
      <c r="KL40" s="8"/>
      <c r="KM40" s="8"/>
      <c r="KN40" s="8"/>
      <c r="KO40" s="8"/>
      <c r="KP40" s="8"/>
      <c r="KQ40" s="8"/>
      <c r="KR40" s="8"/>
      <c r="KS40" s="8"/>
      <c r="KT40" s="8"/>
      <c r="KU40" s="8"/>
      <c r="KV40" s="8"/>
      <c r="KW40" s="8"/>
      <c r="KX40" s="8"/>
      <c r="KY40" s="8"/>
      <c r="KZ40" s="8"/>
      <c r="LA40" s="8"/>
      <c r="LB40" s="8"/>
      <c r="LC40" s="8"/>
      <c r="LD40" s="8"/>
      <c r="LE40" s="8"/>
      <c r="LF40" s="8"/>
      <c r="LG40" s="8"/>
      <c r="LH40" s="8"/>
      <c r="LI40" s="8"/>
      <c r="LJ40" s="8"/>
      <c r="LK40" s="8"/>
      <c r="LL40" s="8"/>
      <c r="LM40" s="8"/>
      <c r="LN40" s="8"/>
      <c r="LO40" s="8"/>
      <c r="LP40" s="8"/>
      <c r="LQ40" s="8"/>
      <c r="LR40" s="8"/>
      <c r="LS40" s="8"/>
      <c r="LT40" s="8"/>
      <c r="LU40" s="8"/>
      <c r="LV40" s="8"/>
      <c r="LW40" s="8"/>
      <c r="LX40" s="8"/>
      <c r="LY40" s="8"/>
      <c r="LZ40" s="8"/>
      <c r="MA40" s="8"/>
      <c r="MB40" s="8"/>
      <c r="MC40" s="8"/>
      <c r="MD40" s="8"/>
      <c r="ME40" s="8"/>
      <c r="MF40" s="8"/>
      <c r="MG40" s="8"/>
      <c r="MH40" s="8"/>
      <c r="MI40" s="8"/>
      <c r="MJ40" s="8"/>
      <c r="MK40" s="8"/>
      <c r="ML40" s="8"/>
      <c r="MM40" s="8"/>
      <c r="MN40" s="8"/>
      <c r="MO40" s="8"/>
      <c r="MP40" s="8"/>
      <c r="MQ40" s="8"/>
      <c r="MR40" s="8"/>
      <c r="MS40" s="8"/>
      <c r="MT40" s="8"/>
      <c r="MU40" s="8"/>
      <c r="MV40" s="8"/>
      <c r="MW40" s="8"/>
      <c r="MX40" s="8"/>
      <c r="MY40" s="8"/>
      <c r="MZ40" s="8"/>
      <c r="NA40" s="8"/>
      <c r="NB40" s="8"/>
      <c r="NC40" s="8"/>
      <c r="ND40" s="8"/>
      <c r="NE40" s="8"/>
      <c r="NF40" s="8"/>
      <c r="NG40" s="8"/>
      <c r="NH40" s="8"/>
      <c r="NI40" s="8"/>
      <c r="NJ40" s="8"/>
      <c r="NK40" s="8"/>
      <c r="NL40" s="8"/>
      <c r="NM40" s="8"/>
      <c r="NN40" s="8"/>
      <c r="NO40" s="8"/>
      <c r="NP40" s="8"/>
      <c r="NQ40" s="8"/>
      <c r="NR40" s="8"/>
      <c r="NS40" s="8"/>
      <c r="NT40" s="8"/>
      <c r="NU40" s="8"/>
      <c r="NV40" s="8"/>
      <c r="NW40" s="8"/>
      <c r="NX40" s="8"/>
      <c r="NY40" s="8"/>
      <c r="NZ40" s="8"/>
      <c r="OA40" s="8"/>
      <c r="OB40" s="8"/>
      <c r="OC40" s="8"/>
      <c r="OD40" s="8"/>
      <c r="OE40" s="8"/>
      <c r="OF40" s="8"/>
      <c r="OG40" s="8"/>
      <c r="OH40" s="8"/>
      <c r="OI40" s="8"/>
      <c r="OJ40" s="8"/>
      <c r="OK40" s="8"/>
      <c r="OL40" s="8"/>
      <c r="OM40" s="8"/>
      <c r="ON40" s="8"/>
      <c r="OO40" s="8"/>
      <c r="OP40" s="8"/>
      <c r="OQ40" s="8"/>
      <c r="OR40" s="8"/>
      <c r="OS40" s="8"/>
      <c r="OT40" s="8"/>
      <c r="OU40" s="8"/>
      <c r="OV40" s="8"/>
      <c r="OW40" s="8"/>
      <c r="OX40" s="8"/>
      <c r="OY40" s="8"/>
      <c r="OZ40" s="8"/>
      <c r="PA40" s="8"/>
      <c r="PB40" s="8"/>
      <c r="PC40" s="8"/>
      <c r="PD40" s="8"/>
      <c r="PE40" s="8"/>
      <c r="PF40" s="8"/>
      <c r="PG40" s="8"/>
      <c r="PH40" s="8"/>
      <c r="PI40" s="8"/>
      <c r="PJ40" s="8"/>
      <c r="PK40" s="8"/>
      <c r="PL40" s="8"/>
      <c r="PM40" s="8"/>
      <c r="PN40" s="8"/>
      <c r="PO40" s="8"/>
      <c r="PP40" s="8"/>
      <c r="PQ40" s="8"/>
      <c r="PR40" s="8"/>
      <c r="PS40" s="8"/>
      <c r="PT40" s="8"/>
      <c r="PU40" s="8"/>
      <c r="PV40" s="8"/>
      <c r="PW40" s="8"/>
      <c r="PX40" s="8"/>
      <c r="PY40" s="8"/>
      <c r="PZ40" s="8"/>
      <c r="QA40" s="8"/>
      <c r="QB40" s="8"/>
      <c r="QC40" s="8"/>
      <c r="QD40" s="8"/>
      <c r="QE40" s="8"/>
      <c r="QF40" s="8"/>
      <c r="QG40" s="8"/>
      <c r="QH40" s="8"/>
      <c r="QI40" s="8"/>
      <c r="QJ40" s="8"/>
      <c r="QK40" s="8"/>
      <c r="QL40" s="8"/>
      <c r="QM40" s="8"/>
      <c r="QN40" s="8"/>
      <c r="QO40" s="8"/>
      <c r="QP40" s="8"/>
      <c r="QQ40" s="8"/>
      <c r="QR40" s="8"/>
      <c r="QS40" s="8"/>
      <c r="QT40" s="8"/>
      <c r="QU40" s="8"/>
      <c r="QV40" s="8"/>
      <c r="QW40" s="8"/>
      <c r="QX40" s="8"/>
      <c r="QY40" s="8"/>
      <c r="QZ40" s="8"/>
      <c r="RA40" s="8"/>
      <c r="RB40" s="8"/>
      <c r="RC40" s="8"/>
      <c r="RD40" s="8"/>
      <c r="RE40" s="8"/>
      <c r="RF40" s="8"/>
      <c r="RG40" s="8"/>
      <c r="RH40" s="8"/>
      <c r="RI40" s="8"/>
      <c r="RJ40" s="8"/>
      <c r="RK40" s="8"/>
      <c r="RL40" s="8"/>
      <c r="RM40" s="8"/>
      <c r="RN40" s="8"/>
      <c r="RO40" s="8"/>
      <c r="RP40" s="8"/>
      <c r="RQ40" s="8"/>
      <c r="RR40" s="8"/>
      <c r="RS40" s="8"/>
      <c r="RT40" s="8"/>
      <c r="RU40" s="8"/>
      <c r="RV40" s="8"/>
      <c r="RW40" s="8"/>
      <c r="RX40" s="8"/>
      <c r="RY40" s="8"/>
      <c r="RZ40" s="8"/>
      <c r="SA40" s="8"/>
      <c r="SB40" s="8"/>
      <c r="SC40" s="8"/>
      <c r="SD40" s="8"/>
      <c r="SE40" s="8"/>
      <c r="SF40" s="8"/>
      <c r="SG40" s="8"/>
      <c r="SH40" s="8"/>
      <c r="SI40" s="8"/>
      <c r="SJ40" s="8"/>
      <c r="SK40" s="8"/>
      <c r="SL40" s="8"/>
      <c r="SM40" s="8"/>
      <c r="SN40" s="8"/>
      <c r="SO40" s="8"/>
      <c r="SP40" s="8"/>
      <c r="SQ40" s="8"/>
      <c r="SR40" s="8"/>
      <c r="SS40" s="8"/>
      <c r="ST40" s="8"/>
      <c r="SU40" s="8"/>
      <c r="SV40" s="8"/>
      <c r="SW40" s="8"/>
      <c r="SX40" s="8"/>
      <c r="SY40" s="8"/>
      <c r="SZ40" s="8"/>
      <c r="TA40" s="8"/>
      <c r="TB40" s="8"/>
      <c r="TC40" s="8"/>
      <c r="TD40" s="8"/>
      <c r="TE40" s="8"/>
      <c r="TF40" s="8"/>
      <c r="TG40" s="8"/>
      <c r="TH40" s="8"/>
      <c r="TI40" s="8"/>
      <c r="TJ40" s="8"/>
      <c r="TK40" s="8"/>
      <c r="TL40" s="8"/>
      <c r="TM40" s="8"/>
      <c r="TN40" s="8"/>
      <c r="TO40" s="8"/>
      <c r="TP40" s="8"/>
      <c r="TQ40" s="8"/>
      <c r="TR40" s="8"/>
      <c r="TS40" s="8"/>
      <c r="TT40" s="8"/>
      <c r="TU40" s="8"/>
      <c r="TV40" s="8"/>
      <c r="TW40" s="8"/>
      <c r="TX40" s="8"/>
      <c r="TY40" s="8"/>
      <c r="TZ40" s="8"/>
      <c r="UA40" s="8"/>
      <c r="UB40" s="8"/>
      <c r="UC40" s="8"/>
      <c r="UD40" s="8"/>
      <c r="UE40" s="8"/>
      <c r="UF40" s="8"/>
      <c r="UG40" s="8"/>
      <c r="UH40" s="8"/>
      <c r="UI40" s="8"/>
      <c r="UJ40" s="8"/>
      <c r="UK40" s="8"/>
      <c r="UL40" s="8"/>
      <c r="UM40" s="8"/>
      <c r="UN40" s="8"/>
      <c r="UO40" s="8"/>
      <c r="UP40" s="8"/>
      <c r="UQ40" s="8"/>
      <c r="UR40" s="8"/>
      <c r="US40" s="8"/>
      <c r="UT40" s="8"/>
      <c r="UU40" s="8"/>
      <c r="UV40" s="8"/>
      <c r="UW40" s="8"/>
      <c r="UX40" s="8"/>
      <c r="UY40" s="8"/>
      <c r="UZ40" s="8"/>
      <c r="VA40" s="8"/>
      <c r="VB40" s="8"/>
      <c r="VC40" s="8"/>
      <c r="VD40" s="8"/>
      <c r="VE40" s="8"/>
      <c r="VF40" s="8"/>
      <c r="VG40" s="8"/>
      <c r="VH40" s="8"/>
      <c r="VI40" s="8"/>
      <c r="VJ40" s="8"/>
      <c r="VK40" s="8"/>
      <c r="VL40" s="8"/>
      <c r="VM40" s="8"/>
      <c r="VN40" s="8"/>
      <c r="VO40" s="8"/>
      <c r="VP40" s="8"/>
      <c r="VQ40" s="8"/>
      <c r="VR40" s="8"/>
      <c r="VS40" s="8"/>
      <c r="VT40" s="8"/>
      <c r="VU40" s="8"/>
      <c r="VV40" s="8"/>
      <c r="VW40" s="8"/>
      <c r="VX40" s="8"/>
      <c r="VY40" s="8"/>
      <c r="VZ40" s="8"/>
      <c r="WA40" s="8"/>
      <c r="WB40" s="8"/>
      <c r="WC40" s="8"/>
      <c r="WD40" s="8"/>
      <c r="WE40" s="8"/>
      <c r="WF40" s="8"/>
      <c r="WG40" s="8"/>
      <c r="WH40" s="8"/>
      <c r="WI40" s="8"/>
      <c r="WJ40" s="8"/>
      <c r="WK40" s="8"/>
      <c r="WL40" s="8"/>
      <c r="WM40" s="8"/>
      <c r="WN40" s="8"/>
      <c r="WO40" s="8"/>
      <c r="WP40" s="8"/>
      <c r="WQ40" s="8"/>
      <c r="WR40" s="8"/>
      <c r="WS40" s="8"/>
      <c r="WT40" s="8"/>
      <c r="WU40" s="8"/>
      <c r="WV40" s="8"/>
      <c r="WW40" s="8"/>
      <c r="WX40" s="8"/>
      <c r="WY40" s="8"/>
      <c r="WZ40" s="8"/>
      <c r="XA40" s="8"/>
      <c r="XB40" s="8"/>
      <c r="XC40" s="8"/>
      <c r="XD40" s="8"/>
      <c r="XE40" s="8"/>
      <c r="XF40" s="8"/>
      <c r="XG40" s="8"/>
      <c r="XH40" s="8"/>
      <c r="XI40" s="8"/>
      <c r="XJ40" s="8"/>
      <c r="XK40" s="8"/>
      <c r="XL40" s="8"/>
      <c r="XM40" s="8"/>
      <c r="XN40" s="8"/>
      <c r="XO40" s="8"/>
      <c r="XP40" s="8"/>
      <c r="XQ40" s="8"/>
      <c r="XR40" s="8"/>
      <c r="XS40" s="8"/>
      <c r="XT40" s="8"/>
      <c r="XU40" s="8"/>
      <c r="XV40" s="8"/>
      <c r="XW40" s="8"/>
      <c r="XX40" s="8"/>
      <c r="XY40" s="8"/>
      <c r="XZ40" s="8"/>
      <c r="YA40" s="8"/>
      <c r="YB40" s="8"/>
      <c r="YC40" s="8"/>
      <c r="YD40" s="8"/>
      <c r="YE40" s="8"/>
      <c r="YF40" s="8"/>
      <c r="YG40" s="8"/>
      <c r="YH40" s="8"/>
      <c r="YI40" s="8"/>
      <c r="YJ40" s="8"/>
      <c r="YK40" s="8"/>
      <c r="YL40" s="8"/>
      <c r="YM40" s="8"/>
      <c r="YN40" s="8"/>
      <c r="YO40" s="8"/>
      <c r="YP40" s="8"/>
      <c r="YQ40" s="8"/>
      <c r="YR40" s="8"/>
      <c r="YS40" s="8"/>
      <c r="YT40" s="8"/>
      <c r="YU40" s="8"/>
      <c r="YV40" s="8"/>
      <c r="YW40" s="8"/>
      <c r="YX40" s="8"/>
      <c r="YY40" s="8"/>
      <c r="YZ40" s="8"/>
      <c r="ZA40" s="8"/>
      <c r="ZB40" s="8"/>
      <c r="ZC40" s="8"/>
      <c r="ZD40" s="8"/>
      <c r="ZE40" s="8"/>
      <c r="ZF40" s="8"/>
      <c r="ZG40" s="8"/>
      <c r="ZH40" s="8"/>
      <c r="ZI40" s="8"/>
      <c r="ZJ40" s="8"/>
      <c r="ZK40" s="8"/>
      <c r="ZL40" s="8"/>
      <c r="ZM40" s="8"/>
      <c r="ZN40" s="8"/>
      <c r="ZO40" s="8"/>
      <c r="ZP40" s="8"/>
      <c r="ZQ40" s="8"/>
      <c r="ZR40" s="8"/>
      <c r="ZS40" s="8"/>
      <c r="ZT40" s="8"/>
      <c r="ZU40" s="8"/>
      <c r="ZV40" s="8"/>
      <c r="ZW40" s="8"/>
      <c r="ZX40" s="8"/>
      <c r="ZY40" s="8"/>
      <c r="ZZ40" s="8"/>
      <c r="AAA40" s="8"/>
      <c r="AAB40" s="8"/>
      <c r="AAC40" s="8"/>
      <c r="AAD40" s="8"/>
      <c r="AAE40" s="8"/>
      <c r="AAF40" s="8"/>
      <c r="AAG40" s="8"/>
      <c r="AAH40" s="8"/>
      <c r="AAI40" s="8"/>
      <c r="AAJ40" s="8"/>
      <c r="AAK40" s="8"/>
      <c r="AAL40" s="8"/>
      <c r="AAM40" s="8"/>
      <c r="AAN40" s="8"/>
      <c r="AAO40" s="8"/>
      <c r="AAP40" s="8"/>
      <c r="AAQ40" s="8"/>
      <c r="AAR40" s="8"/>
      <c r="AAS40" s="8"/>
      <c r="AAT40" s="8"/>
      <c r="AAU40" s="8"/>
      <c r="AAV40" s="8"/>
      <c r="AAW40" s="8"/>
      <c r="AAX40" s="8"/>
      <c r="AAY40" s="8"/>
      <c r="AAZ40" s="8"/>
      <c r="ABA40" s="8"/>
      <c r="ABB40" s="8"/>
      <c r="ABC40" s="8"/>
      <c r="ABD40" s="8"/>
    </row>
    <row r="41" spans="1:732" s="28" customFormat="1" ht="30" customHeight="1">
      <c r="A41" s="334">
        <v>2</v>
      </c>
      <c r="B41" s="577" t="s">
        <v>273</v>
      </c>
      <c r="C41" s="578"/>
      <c r="D41" s="579"/>
      <c r="E41" s="332">
        <f>2%*$F$12</f>
        <v>110000</v>
      </c>
      <c r="F41" s="608"/>
      <c r="G41" s="609"/>
      <c r="H41" s="40"/>
      <c r="I41" s="52"/>
      <c r="J41" s="52"/>
      <c r="K41" s="52"/>
      <c r="L41" s="52"/>
      <c r="M41" s="52"/>
      <c r="N41" s="52"/>
      <c r="O41" s="52"/>
      <c r="IU41" s="8"/>
      <c r="IV41" s="8"/>
      <c r="IW41" s="8"/>
      <c r="IX41" s="8"/>
      <c r="IY41" s="8"/>
      <c r="IZ41" s="8"/>
      <c r="JA41" s="8"/>
      <c r="JB41" s="8"/>
      <c r="JC41" s="8"/>
      <c r="JD41" s="8"/>
      <c r="JE41" s="8"/>
      <c r="JF41" s="8"/>
      <c r="JG41" s="8"/>
      <c r="JH41" s="8"/>
      <c r="JI41" s="8"/>
      <c r="JJ41" s="8"/>
      <c r="JK41" s="8"/>
      <c r="JL41" s="8"/>
      <c r="JM41" s="8"/>
      <c r="JN41" s="8"/>
      <c r="JO41" s="8"/>
      <c r="JP41" s="8"/>
      <c r="JQ41" s="8"/>
      <c r="JR41" s="8"/>
      <c r="JS41" s="8"/>
      <c r="JT41" s="8"/>
      <c r="JU41" s="8"/>
      <c r="JV41" s="8"/>
      <c r="JW41" s="8"/>
      <c r="JX41" s="8"/>
      <c r="JY41" s="8"/>
      <c r="JZ41" s="8"/>
      <c r="KA41" s="8"/>
      <c r="KB41" s="8"/>
      <c r="KC41" s="8"/>
      <c r="KD41" s="8"/>
      <c r="KE41" s="8"/>
      <c r="KF41" s="8"/>
      <c r="KG41" s="8"/>
      <c r="KH41" s="8"/>
      <c r="KI41" s="8"/>
      <c r="KJ41" s="8"/>
      <c r="KK41" s="8"/>
      <c r="KL41" s="8"/>
      <c r="KM41" s="8"/>
      <c r="KN41" s="8"/>
      <c r="KO41" s="8"/>
      <c r="KP41" s="8"/>
      <c r="KQ41" s="8"/>
      <c r="KR41" s="8"/>
      <c r="KS41" s="8"/>
      <c r="KT41" s="8"/>
      <c r="KU41" s="8"/>
      <c r="KV41" s="8"/>
      <c r="KW41" s="8"/>
      <c r="KX41" s="8"/>
      <c r="KY41" s="8"/>
      <c r="KZ41" s="8"/>
      <c r="LA41" s="8"/>
      <c r="LB41" s="8"/>
      <c r="LC41" s="8"/>
      <c r="LD41" s="8"/>
      <c r="LE41" s="8"/>
      <c r="LF41" s="8"/>
      <c r="LG41" s="8"/>
      <c r="LH41" s="8"/>
      <c r="LI41" s="8"/>
      <c r="LJ41" s="8"/>
      <c r="LK41" s="8"/>
      <c r="LL41" s="8"/>
      <c r="LM41" s="8"/>
      <c r="LN41" s="8"/>
      <c r="LO41" s="8"/>
      <c r="LP41" s="8"/>
      <c r="LQ41" s="8"/>
      <c r="LR41" s="8"/>
      <c r="LS41" s="8"/>
      <c r="LT41" s="8"/>
      <c r="LU41" s="8"/>
      <c r="LV41" s="8"/>
      <c r="LW41" s="8"/>
      <c r="LX41" s="8"/>
      <c r="LY41" s="8"/>
      <c r="LZ41" s="8"/>
      <c r="MA41" s="8"/>
      <c r="MB41" s="8"/>
      <c r="MC41" s="8"/>
      <c r="MD41" s="8"/>
      <c r="ME41" s="8"/>
      <c r="MF41" s="8"/>
      <c r="MG41" s="8"/>
      <c r="MH41" s="8"/>
      <c r="MI41" s="8"/>
      <c r="MJ41" s="8"/>
      <c r="MK41" s="8"/>
      <c r="ML41" s="8"/>
      <c r="MM41" s="8"/>
      <c r="MN41" s="8"/>
      <c r="MO41" s="8"/>
      <c r="MP41" s="8"/>
      <c r="MQ41" s="8"/>
      <c r="MR41" s="8"/>
      <c r="MS41" s="8"/>
      <c r="MT41" s="8"/>
      <c r="MU41" s="8"/>
      <c r="MV41" s="8"/>
      <c r="MW41" s="8"/>
      <c r="MX41" s="8"/>
      <c r="MY41" s="8"/>
      <c r="MZ41" s="8"/>
      <c r="NA41" s="8"/>
      <c r="NB41" s="8"/>
      <c r="NC41" s="8"/>
      <c r="ND41" s="8"/>
      <c r="NE41" s="8"/>
      <c r="NF41" s="8"/>
      <c r="NG41" s="8"/>
      <c r="NH41" s="8"/>
      <c r="NI41" s="8"/>
      <c r="NJ41" s="8"/>
      <c r="NK41" s="8"/>
      <c r="NL41" s="8"/>
      <c r="NM41" s="8"/>
      <c r="NN41" s="8"/>
      <c r="NO41" s="8"/>
      <c r="NP41" s="8"/>
      <c r="NQ41" s="8"/>
      <c r="NR41" s="8"/>
      <c r="NS41" s="8"/>
      <c r="NT41" s="8"/>
      <c r="NU41" s="8"/>
      <c r="NV41" s="8"/>
      <c r="NW41" s="8"/>
      <c r="NX41" s="8"/>
      <c r="NY41" s="8"/>
      <c r="NZ41" s="8"/>
      <c r="OA41" s="8"/>
      <c r="OB41" s="8"/>
      <c r="OC41" s="8"/>
      <c r="OD41" s="8"/>
      <c r="OE41" s="8"/>
      <c r="OF41" s="8"/>
      <c r="OG41" s="8"/>
      <c r="OH41" s="8"/>
      <c r="OI41" s="8"/>
      <c r="OJ41" s="8"/>
      <c r="OK41" s="8"/>
      <c r="OL41" s="8"/>
      <c r="OM41" s="8"/>
      <c r="ON41" s="8"/>
      <c r="OO41" s="8"/>
      <c r="OP41" s="8"/>
      <c r="OQ41" s="8"/>
      <c r="OR41" s="8"/>
      <c r="OS41" s="8"/>
      <c r="OT41" s="8"/>
      <c r="OU41" s="8"/>
      <c r="OV41" s="8"/>
      <c r="OW41" s="8"/>
      <c r="OX41" s="8"/>
      <c r="OY41" s="8"/>
      <c r="OZ41" s="8"/>
      <c r="PA41" s="8"/>
      <c r="PB41" s="8"/>
      <c r="PC41" s="8"/>
      <c r="PD41" s="8"/>
      <c r="PE41" s="8"/>
      <c r="PF41" s="8"/>
      <c r="PG41" s="8"/>
      <c r="PH41" s="8"/>
      <c r="PI41" s="8"/>
      <c r="PJ41" s="8"/>
      <c r="PK41" s="8"/>
      <c r="PL41" s="8"/>
      <c r="PM41" s="8"/>
      <c r="PN41" s="8"/>
      <c r="PO41" s="8"/>
      <c r="PP41" s="8"/>
      <c r="PQ41" s="8"/>
      <c r="PR41" s="8"/>
      <c r="PS41" s="8"/>
      <c r="PT41" s="8"/>
      <c r="PU41" s="8"/>
      <c r="PV41" s="8"/>
      <c r="PW41" s="8"/>
      <c r="PX41" s="8"/>
      <c r="PY41" s="8"/>
      <c r="PZ41" s="8"/>
      <c r="QA41" s="8"/>
      <c r="QB41" s="8"/>
      <c r="QC41" s="8"/>
      <c r="QD41" s="8"/>
      <c r="QE41" s="8"/>
      <c r="QF41" s="8"/>
      <c r="QG41" s="8"/>
      <c r="QH41" s="8"/>
      <c r="QI41" s="8"/>
      <c r="QJ41" s="8"/>
      <c r="QK41" s="8"/>
      <c r="QL41" s="8"/>
      <c r="QM41" s="8"/>
      <c r="QN41" s="8"/>
      <c r="QO41" s="8"/>
      <c r="QP41" s="8"/>
      <c r="QQ41" s="8"/>
      <c r="QR41" s="8"/>
      <c r="QS41" s="8"/>
      <c r="QT41" s="8"/>
      <c r="QU41" s="8"/>
      <c r="QV41" s="8"/>
      <c r="QW41" s="8"/>
      <c r="QX41" s="8"/>
      <c r="QY41" s="8"/>
      <c r="QZ41" s="8"/>
      <c r="RA41" s="8"/>
      <c r="RB41" s="8"/>
      <c r="RC41" s="8"/>
      <c r="RD41" s="8"/>
      <c r="RE41" s="8"/>
      <c r="RF41" s="8"/>
      <c r="RG41" s="8"/>
      <c r="RH41" s="8"/>
      <c r="RI41" s="8"/>
      <c r="RJ41" s="8"/>
      <c r="RK41" s="8"/>
      <c r="RL41" s="8"/>
      <c r="RM41" s="8"/>
      <c r="RN41" s="8"/>
      <c r="RO41" s="8"/>
      <c r="RP41" s="8"/>
      <c r="RQ41" s="8"/>
      <c r="RR41" s="8"/>
      <c r="RS41" s="8"/>
      <c r="RT41" s="8"/>
      <c r="RU41" s="8"/>
      <c r="RV41" s="8"/>
      <c r="RW41" s="8"/>
      <c r="RX41" s="8"/>
      <c r="RY41" s="8"/>
      <c r="RZ41" s="8"/>
      <c r="SA41" s="8"/>
      <c r="SB41" s="8"/>
      <c r="SC41" s="8"/>
      <c r="SD41" s="8"/>
      <c r="SE41" s="8"/>
      <c r="SF41" s="8"/>
      <c r="SG41" s="8"/>
      <c r="SH41" s="8"/>
      <c r="SI41" s="8"/>
      <c r="SJ41" s="8"/>
      <c r="SK41" s="8"/>
      <c r="SL41" s="8"/>
      <c r="SM41" s="8"/>
      <c r="SN41" s="8"/>
      <c r="SO41" s="8"/>
      <c r="SP41" s="8"/>
      <c r="SQ41" s="8"/>
      <c r="SR41" s="8"/>
      <c r="SS41" s="8"/>
      <c r="ST41" s="8"/>
      <c r="SU41" s="8"/>
      <c r="SV41" s="8"/>
      <c r="SW41" s="8"/>
      <c r="SX41" s="8"/>
      <c r="SY41" s="8"/>
      <c r="SZ41" s="8"/>
      <c r="TA41" s="8"/>
      <c r="TB41" s="8"/>
      <c r="TC41" s="8"/>
      <c r="TD41" s="8"/>
      <c r="TE41" s="8"/>
      <c r="TF41" s="8"/>
      <c r="TG41" s="8"/>
      <c r="TH41" s="8"/>
      <c r="TI41" s="8"/>
      <c r="TJ41" s="8"/>
      <c r="TK41" s="8"/>
      <c r="TL41" s="8"/>
      <c r="TM41" s="8"/>
      <c r="TN41" s="8"/>
      <c r="TO41" s="8"/>
      <c r="TP41" s="8"/>
      <c r="TQ41" s="8"/>
      <c r="TR41" s="8"/>
      <c r="TS41" s="8"/>
      <c r="TT41" s="8"/>
      <c r="TU41" s="8"/>
      <c r="TV41" s="8"/>
      <c r="TW41" s="8"/>
      <c r="TX41" s="8"/>
      <c r="TY41" s="8"/>
      <c r="TZ41" s="8"/>
      <c r="UA41" s="8"/>
      <c r="UB41" s="8"/>
      <c r="UC41" s="8"/>
      <c r="UD41" s="8"/>
      <c r="UE41" s="8"/>
      <c r="UF41" s="8"/>
      <c r="UG41" s="8"/>
      <c r="UH41" s="8"/>
      <c r="UI41" s="8"/>
      <c r="UJ41" s="8"/>
      <c r="UK41" s="8"/>
      <c r="UL41" s="8"/>
      <c r="UM41" s="8"/>
      <c r="UN41" s="8"/>
      <c r="UO41" s="8"/>
      <c r="UP41" s="8"/>
      <c r="UQ41" s="8"/>
      <c r="UR41" s="8"/>
      <c r="US41" s="8"/>
      <c r="UT41" s="8"/>
      <c r="UU41" s="8"/>
      <c r="UV41" s="8"/>
      <c r="UW41" s="8"/>
      <c r="UX41" s="8"/>
      <c r="UY41" s="8"/>
      <c r="UZ41" s="8"/>
      <c r="VA41" s="8"/>
      <c r="VB41" s="8"/>
      <c r="VC41" s="8"/>
      <c r="VD41" s="8"/>
      <c r="VE41" s="8"/>
      <c r="VF41" s="8"/>
      <c r="VG41" s="8"/>
      <c r="VH41" s="8"/>
      <c r="VI41" s="8"/>
      <c r="VJ41" s="8"/>
      <c r="VK41" s="8"/>
      <c r="VL41" s="8"/>
      <c r="VM41" s="8"/>
      <c r="VN41" s="8"/>
      <c r="VO41" s="8"/>
      <c r="VP41" s="8"/>
      <c r="VQ41" s="8"/>
      <c r="VR41" s="8"/>
      <c r="VS41" s="8"/>
      <c r="VT41" s="8"/>
      <c r="VU41" s="8"/>
      <c r="VV41" s="8"/>
      <c r="VW41" s="8"/>
      <c r="VX41" s="8"/>
      <c r="VY41" s="8"/>
      <c r="VZ41" s="8"/>
      <c r="WA41" s="8"/>
      <c r="WB41" s="8"/>
      <c r="WC41" s="8"/>
      <c r="WD41" s="8"/>
      <c r="WE41" s="8"/>
      <c r="WF41" s="8"/>
      <c r="WG41" s="8"/>
      <c r="WH41" s="8"/>
      <c r="WI41" s="8"/>
      <c r="WJ41" s="8"/>
      <c r="WK41" s="8"/>
      <c r="WL41" s="8"/>
      <c r="WM41" s="8"/>
      <c r="WN41" s="8"/>
      <c r="WO41" s="8"/>
      <c r="WP41" s="8"/>
      <c r="WQ41" s="8"/>
      <c r="WR41" s="8"/>
      <c r="WS41" s="8"/>
      <c r="WT41" s="8"/>
      <c r="WU41" s="8"/>
      <c r="WV41" s="8"/>
      <c r="WW41" s="8"/>
      <c r="WX41" s="8"/>
      <c r="WY41" s="8"/>
      <c r="WZ41" s="8"/>
      <c r="XA41" s="8"/>
      <c r="XB41" s="8"/>
      <c r="XC41" s="8"/>
      <c r="XD41" s="8"/>
      <c r="XE41" s="8"/>
      <c r="XF41" s="8"/>
      <c r="XG41" s="8"/>
      <c r="XH41" s="8"/>
      <c r="XI41" s="8"/>
      <c r="XJ41" s="8"/>
      <c r="XK41" s="8"/>
      <c r="XL41" s="8"/>
      <c r="XM41" s="8"/>
      <c r="XN41" s="8"/>
      <c r="XO41" s="8"/>
      <c r="XP41" s="8"/>
      <c r="XQ41" s="8"/>
      <c r="XR41" s="8"/>
      <c r="XS41" s="8"/>
      <c r="XT41" s="8"/>
      <c r="XU41" s="8"/>
      <c r="XV41" s="8"/>
      <c r="XW41" s="8"/>
      <c r="XX41" s="8"/>
      <c r="XY41" s="8"/>
      <c r="XZ41" s="8"/>
      <c r="YA41" s="8"/>
      <c r="YB41" s="8"/>
      <c r="YC41" s="8"/>
      <c r="YD41" s="8"/>
      <c r="YE41" s="8"/>
      <c r="YF41" s="8"/>
      <c r="YG41" s="8"/>
      <c r="YH41" s="8"/>
      <c r="YI41" s="8"/>
      <c r="YJ41" s="8"/>
      <c r="YK41" s="8"/>
      <c r="YL41" s="8"/>
      <c r="YM41" s="8"/>
      <c r="YN41" s="8"/>
      <c r="YO41" s="8"/>
      <c r="YP41" s="8"/>
      <c r="YQ41" s="8"/>
      <c r="YR41" s="8"/>
      <c r="YS41" s="8"/>
      <c r="YT41" s="8"/>
      <c r="YU41" s="8"/>
      <c r="YV41" s="8"/>
      <c r="YW41" s="8"/>
      <c r="YX41" s="8"/>
      <c r="YY41" s="8"/>
      <c r="YZ41" s="8"/>
      <c r="ZA41" s="8"/>
      <c r="ZB41" s="8"/>
      <c r="ZC41" s="8"/>
      <c r="ZD41" s="8"/>
      <c r="ZE41" s="8"/>
      <c r="ZF41" s="8"/>
      <c r="ZG41" s="8"/>
      <c r="ZH41" s="8"/>
      <c r="ZI41" s="8"/>
      <c r="ZJ41" s="8"/>
      <c r="ZK41" s="8"/>
      <c r="ZL41" s="8"/>
      <c r="ZM41" s="8"/>
      <c r="ZN41" s="8"/>
      <c r="ZO41" s="8"/>
      <c r="ZP41" s="8"/>
      <c r="ZQ41" s="8"/>
      <c r="ZR41" s="8"/>
      <c r="ZS41" s="8"/>
      <c r="ZT41" s="8"/>
      <c r="ZU41" s="8"/>
      <c r="ZV41" s="8"/>
      <c r="ZW41" s="8"/>
      <c r="ZX41" s="8"/>
      <c r="ZY41" s="8"/>
      <c r="ZZ41" s="8"/>
      <c r="AAA41" s="8"/>
      <c r="AAB41" s="8"/>
      <c r="AAC41" s="8"/>
      <c r="AAD41" s="8"/>
      <c r="AAE41" s="8"/>
      <c r="AAF41" s="8"/>
      <c r="AAG41" s="8"/>
      <c r="AAH41" s="8"/>
      <c r="AAI41" s="8"/>
      <c r="AAJ41" s="8"/>
      <c r="AAK41" s="8"/>
      <c r="AAL41" s="8"/>
      <c r="AAM41" s="8"/>
      <c r="AAN41" s="8"/>
      <c r="AAO41" s="8"/>
      <c r="AAP41" s="8"/>
      <c r="AAQ41" s="8"/>
      <c r="AAR41" s="8"/>
      <c r="AAS41" s="8"/>
      <c r="AAT41" s="8"/>
      <c r="AAU41" s="8"/>
      <c r="AAV41" s="8"/>
      <c r="AAW41" s="8"/>
      <c r="AAX41" s="8"/>
      <c r="AAY41" s="8"/>
      <c r="AAZ41" s="8"/>
      <c r="ABA41" s="8"/>
      <c r="ABB41" s="8"/>
      <c r="ABC41" s="8"/>
      <c r="ABD41" s="8"/>
    </row>
    <row r="42" spans="1:732" s="28" customFormat="1" ht="27.75" customHeight="1">
      <c r="A42" s="335">
        <v>3</v>
      </c>
      <c r="B42" s="580" t="s">
        <v>329</v>
      </c>
      <c r="C42" s="581"/>
      <c r="D42" s="582"/>
      <c r="E42" s="333">
        <f>FLOOR(($E$7+$E$40+$E$41),1000)</f>
        <v>2042000</v>
      </c>
      <c r="F42" s="613"/>
      <c r="G42" s="614"/>
      <c r="H42" s="40"/>
      <c r="I42" s="52"/>
      <c r="J42" s="52"/>
      <c r="K42" s="52"/>
      <c r="L42" s="52"/>
      <c r="M42" s="52"/>
      <c r="N42" s="52"/>
      <c r="O42" s="52"/>
      <c r="IU42" s="8"/>
      <c r="IV42" s="8"/>
      <c r="IW42" s="8"/>
      <c r="IX42" s="8"/>
      <c r="IY42" s="8"/>
      <c r="IZ42" s="8"/>
      <c r="JA42" s="8"/>
      <c r="JB42" s="8"/>
      <c r="JC42" s="8"/>
      <c r="JD42" s="8"/>
      <c r="JE42" s="8"/>
      <c r="JF42" s="8"/>
      <c r="JG42" s="8"/>
      <c r="JH42" s="8"/>
      <c r="JI42" s="8"/>
      <c r="JJ42" s="8"/>
      <c r="JK42" s="8"/>
      <c r="JL42" s="8"/>
      <c r="JM42" s="8"/>
      <c r="JN42" s="8"/>
      <c r="JO42" s="8"/>
      <c r="JP42" s="8"/>
      <c r="JQ42" s="8"/>
      <c r="JR42" s="8"/>
      <c r="JS42" s="8"/>
      <c r="JT42" s="8"/>
      <c r="JU42" s="8"/>
      <c r="JV42" s="8"/>
      <c r="JW42" s="8"/>
      <c r="JX42" s="8"/>
      <c r="JY42" s="8"/>
      <c r="JZ42" s="8"/>
      <c r="KA42" s="8"/>
      <c r="KB42" s="8"/>
      <c r="KC42" s="8"/>
      <c r="KD42" s="8"/>
      <c r="KE42" s="8"/>
      <c r="KF42" s="8"/>
      <c r="KG42" s="8"/>
      <c r="KH42" s="8"/>
      <c r="KI42" s="8"/>
      <c r="KJ42" s="8"/>
      <c r="KK42" s="8"/>
      <c r="KL42" s="8"/>
      <c r="KM42" s="8"/>
      <c r="KN42" s="8"/>
      <c r="KO42" s="8"/>
      <c r="KP42" s="8"/>
      <c r="KQ42" s="8"/>
      <c r="KR42" s="8"/>
      <c r="KS42" s="8"/>
      <c r="KT42" s="8"/>
      <c r="KU42" s="8"/>
      <c r="KV42" s="8"/>
      <c r="KW42" s="8"/>
      <c r="KX42" s="8"/>
      <c r="KY42" s="8"/>
      <c r="KZ42" s="8"/>
      <c r="LA42" s="8"/>
      <c r="LB42" s="8"/>
      <c r="LC42" s="8"/>
      <c r="LD42" s="8"/>
      <c r="LE42" s="8"/>
      <c r="LF42" s="8"/>
      <c r="LG42" s="8"/>
      <c r="LH42" s="8"/>
      <c r="LI42" s="8"/>
      <c r="LJ42" s="8"/>
      <c r="LK42" s="8"/>
      <c r="LL42" s="8"/>
      <c r="LM42" s="8"/>
      <c r="LN42" s="8"/>
      <c r="LO42" s="8"/>
      <c r="LP42" s="8"/>
      <c r="LQ42" s="8"/>
      <c r="LR42" s="8"/>
      <c r="LS42" s="8"/>
      <c r="LT42" s="8"/>
      <c r="LU42" s="8"/>
      <c r="LV42" s="8"/>
      <c r="LW42" s="8"/>
      <c r="LX42" s="8"/>
      <c r="LY42" s="8"/>
      <c r="LZ42" s="8"/>
      <c r="MA42" s="8"/>
      <c r="MB42" s="8"/>
      <c r="MC42" s="8"/>
      <c r="MD42" s="8"/>
      <c r="ME42" s="8"/>
      <c r="MF42" s="8"/>
      <c r="MG42" s="8"/>
      <c r="MH42" s="8"/>
      <c r="MI42" s="8"/>
      <c r="MJ42" s="8"/>
      <c r="MK42" s="8"/>
      <c r="ML42" s="8"/>
      <c r="MM42" s="8"/>
      <c r="MN42" s="8"/>
      <c r="MO42" s="8"/>
      <c r="MP42" s="8"/>
      <c r="MQ42" s="8"/>
      <c r="MR42" s="8"/>
      <c r="MS42" s="8"/>
      <c r="MT42" s="8"/>
      <c r="MU42" s="8"/>
      <c r="MV42" s="8"/>
      <c r="MW42" s="8"/>
      <c r="MX42" s="8"/>
      <c r="MY42" s="8"/>
      <c r="MZ42" s="8"/>
      <c r="NA42" s="8"/>
      <c r="NB42" s="8"/>
      <c r="NC42" s="8"/>
      <c r="ND42" s="8"/>
      <c r="NE42" s="8"/>
      <c r="NF42" s="8"/>
      <c r="NG42" s="8"/>
      <c r="NH42" s="8"/>
      <c r="NI42" s="8"/>
      <c r="NJ42" s="8"/>
      <c r="NK42" s="8"/>
      <c r="NL42" s="8"/>
      <c r="NM42" s="8"/>
      <c r="NN42" s="8"/>
      <c r="NO42" s="8"/>
      <c r="NP42" s="8"/>
      <c r="NQ42" s="8"/>
      <c r="NR42" s="8"/>
      <c r="NS42" s="8"/>
      <c r="NT42" s="8"/>
      <c r="NU42" s="8"/>
      <c r="NV42" s="8"/>
      <c r="NW42" s="8"/>
      <c r="NX42" s="8"/>
      <c r="NY42" s="8"/>
      <c r="NZ42" s="8"/>
      <c r="OA42" s="8"/>
      <c r="OB42" s="8"/>
      <c r="OC42" s="8"/>
      <c r="OD42" s="8"/>
      <c r="OE42" s="8"/>
      <c r="OF42" s="8"/>
      <c r="OG42" s="8"/>
      <c r="OH42" s="8"/>
      <c r="OI42" s="8"/>
      <c r="OJ42" s="8"/>
      <c r="OK42" s="8"/>
      <c r="OL42" s="8"/>
      <c r="OM42" s="8"/>
      <c r="ON42" s="8"/>
      <c r="OO42" s="8"/>
      <c r="OP42" s="8"/>
      <c r="OQ42" s="8"/>
      <c r="OR42" s="8"/>
      <c r="OS42" s="8"/>
      <c r="OT42" s="8"/>
      <c r="OU42" s="8"/>
      <c r="OV42" s="8"/>
      <c r="OW42" s="8"/>
      <c r="OX42" s="8"/>
      <c r="OY42" s="8"/>
      <c r="OZ42" s="8"/>
      <c r="PA42" s="8"/>
      <c r="PB42" s="8"/>
      <c r="PC42" s="8"/>
      <c r="PD42" s="8"/>
      <c r="PE42" s="8"/>
      <c r="PF42" s="8"/>
      <c r="PG42" s="8"/>
      <c r="PH42" s="8"/>
      <c r="PI42" s="8"/>
      <c r="PJ42" s="8"/>
      <c r="PK42" s="8"/>
      <c r="PL42" s="8"/>
      <c r="PM42" s="8"/>
      <c r="PN42" s="8"/>
      <c r="PO42" s="8"/>
      <c r="PP42" s="8"/>
      <c r="PQ42" s="8"/>
      <c r="PR42" s="8"/>
      <c r="PS42" s="8"/>
      <c r="PT42" s="8"/>
      <c r="PU42" s="8"/>
      <c r="PV42" s="8"/>
      <c r="PW42" s="8"/>
      <c r="PX42" s="8"/>
      <c r="PY42" s="8"/>
      <c r="PZ42" s="8"/>
      <c r="QA42" s="8"/>
      <c r="QB42" s="8"/>
      <c r="QC42" s="8"/>
      <c r="QD42" s="8"/>
      <c r="QE42" s="8"/>
      <c r="QF42" s="8"/>
      <c r="QG42" s="8"/>
      <c r="QH42" s="8"/>
      <c r="QI42" s="8"/>
      <c r="QJ42" s="8"/>
      <c r="QK42" s="8"/>
      <c r="QL42" s="8"/>
      <c r="QM42" s="8"/>
      <c r="QN42" s="8"/>
      <c r="QO42" s="8"/>
      <c r="QP42" s="8"/>
      <c r="QQ42" s="8"/>
      <c r="QR42" s="8"/>
      <c r="QS42" s="8"/>
      <c r="QT42" s="8"/>
      <c r="QU42" s="8"/>
      <c r="QV42" s="8"/>
      <c r="QW42" s="8"/>
      <c r="QX42" s="8"/>
      <c r="QY42" s="8"/>
      <c r="QZ42" s="8"/>
      <c r="RA42" s="8"/>
      <c r="RB42" s="8"/>
      <c r="RC42" s="8"/>
      <c r="RD42" s="8"/>
      <c r="RE42" s="8"/>
      <c r="RF42" s="8"/>
      <c r="RG42" s="8"/>
      <c r="RH42" s="8"/>
      <c r="RI42" s="8"/>
      <c r="RJ42" s="8"/>
      <c r="RK42" s="8"/>
      <c r="RL42" s="8"/>
      <c r="RM42" s="8"/>
      <c r="RN42" s="8"/>
      <c r="RO42" s="8"/>
      <c r="RP42" s="8"/>
      <c r="RQ42" s="8"/>
      <c r="RR42" s="8"/>
      <c r="RS42" s="8"/>
      <c r="RT42" s="8"/>
      <c r="RU42" s="8"/>
      <c r="RV42" s="8"/>
      <c r="RW42" s="8"/>
      <c r="RX42" s="8"/>
      <c r="RY42" s="8"/>
      <c r="RZ42" s="8"/>
      <c r="SA42" s="8"/>
      <c r="SB42" s="8"/>
      <c r="SC42" s="8"/>
      <c r="SD42" s="8"/>
      <c r="SE42" s="8"/>
      <c r="SF42" s="8"/>
      <c r="SG42" s="8"/>
      <c r="SH42" s="8"/>
      <c r="SI42" s="8"/>
      <c r="SJ42" s="8"/>
      <c r="SK42" s="8"/>
      <c r="SL42" s="8"/>
      <c r="SM42" s="8"/>
      <c r="SN42" s="8"/>
      <c r="SO42" s="8"/>
      <c r="SP42" s="8"/>
      <c r="SQ42" s="8"/>
      <c r="SR42" s="8"/>
      <c r="SS42" s="8"/>
      <c r="ST42" s="8"/>
      <c r="SU42" s="8"/>
      <c r="SV42" s="8"/>
      <c r="SW42" s="8"/>
      <c r="SX42" s="8"/>
      <c r="SY42" s="8"/>
      <c r="SZ42" s="8"/>
      <c r="TA42" s="8"/>
      <c r="TB42" s="8"/>
      <c r="TC42" s="8"/>
      <c r="TD42" s="8"/>
      <c r="TE42" s="8"/>
      <c r="TF42" s="8"/>
      <c r="TG42" s="8"/>
      <c r="TH42" s="8"/>
      <c r="TI42" s="8"/>
      <c r="TJ42" s="8"/>
      <c r="TK42" s="8"/>
      <c r="TL42" s="8"/>
      <c r="TM42" s="8"/>
      <c r="TN42" s="8"/>
      <c r="TO42" s="8"/>
      <c r="TP42" s="8"/>
      <c r="TQ42" s="8"/>
      <c r="TR42" s="8"/>
      <c r="TS42" s="8"/>
      <c r="TT42" s="8"/>
      <c r="TU42" s="8"/>
      <c r="TV42" s="8"/>
      <c r="TW42" s="8"/>
      <c r="TX42" s="8"/>
      <c r="TY42" s="8"/>
      <c r="TZ42" s="8"/>
      <c r="UA42" s="8"/>
      <c r="UB42" s="8"/>
      <c r="UC42" s="8"/>
      <c r="UD42" s="8"/>
      <c r="UE42" s="8"/>
      <c r="UF42" s="8"/>
      <c r="UG42" s="8"/>
      <c r="UH42" s="8"/>
      <c r="UI42" s="8"/>
      <c r="UJ42" s="8"/>
      <c r="UK42" s="8"/>
      <c r="UL42" s="8"/>
      <c r="UM42" s="8"/>
      <c r="UN42" s="8"/>
      <c r="UO42" s="8"/>
      <c r="UP42" s="8"/>
      <c r="UQ42" s="8"/>
      <c r="UR42" s="8"/>
      <c r="US42" s="8"/>
      <c r="UT42" s="8"/>
      <c r="UU42" s="8"/>
      <c r="UV42" s="8"/>
      <c r="UW42" s="8"/>
      <c r="UX42" s="8"/>
      <c r="UY42" s="8"/>
      <c r="UZ42" s="8"/>
      <c r="VA42" s="8"/>
      <c r="VB42" s="8"/>
      <c r="VC42" s="8"/>
      <c r="VD42" s="8"/>
      <c r="VE42" s="8"/>
      <c r="VF42" s="8"/>
      <c r="VG42" s="8"/>
      <c r="VH42" s="8"/>
      <c r="VI42" s="8"/>
      <c r="VJ42" s="8"/>
      <c r="VK42" s="8"/>
      <c r="VL42" s="8"/>
      <c r="VM42" s="8"/>
      <c r="VN42" s="8"/>
      <c r="VO42" s="8"/>
      <c r="VP42" s="8"/>
      <c r="VQ42" s="8"/>
      <c r="VR42" s="8"/>
      <c r="VS42" s="8"/>
      <c r="VT42" s="8"/>
      <c r="VU42" s="8"/>
      <c r="VV42" s="8"/>
      <c r="VW42" s="8"/>
      <c r="VX42" s="8"/>
      <c r="VY42" s="8"/>
      <c r="VZ42" s="8"/>
      <c r="WA42" s="8"/>
      <c r="WB42" s="8"/>
      <c r="WC42" s="8"/>
      <c r="WD42" s="8"/>
      <c r="WE42" s="8"/>
      <c r="WF42" s="8"/>
      <c r="WG42" s="8"/>
      <c r="WH42" s="8"/>
      <c r="WI42" s="8"/>
      <c r="WJ42" s="8"/>
      <c r="WK42" s="8"/>
      <c r="WL42" s="8"/>
      <c r="WM42" s="8"/>
      <c r="WN42" s="8"/>
      <c r="WO42" s="8"/>
      <c r="WP42" s="8"/>
      <c r="WQ42" s="8"/>
      <c r="WR42" s="8"/>
      <c r="WS42" s="8"/>
      <c r="WT42" s="8"/>
      <c r="WU42" s="8"/>
      <c r="WV42" s="8"/>
      <c r="WW42" s="8"/>
      <c r="WX42" s="8"/>
      <c r="WY42" s="8"/>
      <c r="WZ42" s="8"/>
      <c r="XA42" s="8"/>
      <c r="XB42" s="8"/>
      <c r="XC42" s="8"/>
      <c r="XD42" s="8"/>
      <c r="XE42" s="8"/>
      <c r="XF42" s="8"/>
      <c r="XG42" s="8"/>
      <c r="XH42" s="8"/>
      <c r="XI42" s="8"/>
      <c r="XJ42" s="8"/>
      <c r="XK42" s="8"/>
      <c r="XL42" s="8"/>
      <c r="XM42" s="8"/>
      <c r="XN42" s="8"/>
      <c r="XO42" s="8"/>
      <c r="XP42" s="8"/>
      <c r="XQ42" s="8"/>
      <c r="XR42" s="8"/>
      <c r="XS42" s="8"/>
      <c r="XT42" s="8"/>
      <c r="XU42" s="8"/>
      <c r="XV42" s="8"/>
      <c r="XW42" s="8"/>
      <c r="XX42" s="8"/>
      <c r="XY42" s="8"/>
      <c r="XZ42" s="8"/>
      <c r="YA42" s="8"/>
      <c r="YB42" s="8"/>
      <c r="YC42" s="8"/>
      <c r="YD42" s="8"/>
      <c r="YE42" s="8"/>
      <c r="YF42" s="8"/>
      <c r="YG42" s="8"/>
      <c r="YH42" s="8"/>
      <c r="YI42" s="8"/>
      <c r="YJ42" s="8"/>
      <c r="YK42" s="8"/>
      <c r="YL42" s="8"/>
      <c r="YM42" s="8"/>
      <c r="YN42" s="8"/>
      <c r="YO42" s="8"/>
      <c r="YP42" s="8"/>
      <c r="YQ42" s="8"/>
      <c r="YR42" s="8"/>
      <c r="YS42" s="8"/>
      <c r="YT42" s="8"/>
      <c r="YU42" s="8"/>
      <c r="YV42" s="8"/>
      <c r="YW42" s="8"/>
      <c r="YX42" s="8"/>
      <c r="YY42" s="8"/>
      <c r="YZ42" s="8"/>
      <c r="ZA42" s="8"/>
      <c r="ZB42" s="8"/>
      <c r="ZC42" s="8"/>
      <c r="ZD42" s="8"/>
      <c r="ZE42" s="8"/>
      <c r="ZF42" s="8"/>
      <c r="ZG42" s="8"/>
      <c r="ZH42" s="8"/>
      <c r="ZI42" s="8"/>
      <c r="ZJ42" s="8"/>
      <c r="ZK42" s="8"/>
      <c r="ZL42" s="8"/>
      <c r="ZM42" s="8"/>
      <c r="ZN42" s="8"/>
      <c r="ZO42" s="8"/>
      <c r="ZP42" s="8"/>
      <c r="ZQ42" s="8"/>
      <c r="ZR42" s="8"/>
      <c r="ZS42" s="8"/>
      <c r="ZT42" s="8"/>
      <c r="ZU42" s="8"/>
      <c r="ZV42" s="8"/>
      <c r="ZW42" s="8"/>
      <c r="ZX42" s="8"/>
      <c r="ZY42" s="8"/>
      <c r="ZZ42" s="8"/>
      <c r="AAA42" s="8"/>
      <c r="AAB42" s="8"/>
      <c r="AAC42" s="8"/>
      <c r="AAD42" s="8"/>
      <c r="AAE42" s="8"/>
      <c r="AAF42" s="8"/>
      <c r="AAG42" s="8"/>
      <c r="AAH42" s="8"/>
      <c r="AAI42" s="8"/>
      <c r="AAJ42" s="8"/>
      <c r="AAK42" s="8"/>
      <c r="AAL42" s="8"/>
      <c r="AAM42" s="8"/>
      <c r="AAN42" s="8"/>
      <c r="AAO42" s="8"/>
      <c r="AAP42" s="8"/>
      <c r="AAQ42" s="8"/>
      <c r="AAR42" s="8"/>
      <c r="AAS42" s="8"/>
      <c r="AAT42" s="8"/>
      <c r="AAU42" s="8"/>
      <c r="AAV42" s="8"/>
      <c r="AAW42" s="8"/>
      <c r="AAX42" s="8"/>
      <c r="AAY42" s="8"/>
      <c r="AAZ42" s="8"/>
      <c r="ABA42" s="8"/>
      <c r="ABB42" s="8"/>
      <c r="ABC42" s="8"/>
      <c r="ABD42" s="8"/>
    </row>
    <row r="43" spans="1:732" s="16" customFormat="1" ht="30" customHeight="1">
      <c r="A43" s="34" t="s">
        <v>328</v>
      </c>
      <c r="B43" s="575" t="s">
        <v>31</v>
      </c>
      <c r="C43" s="576"/>
      <c r="D43" s="617"/>
      <c r="E43" s="452">
        <f>VLOOKUP($C$3,'Bảng tính toán'!$C$7:$CH$78,82,0)</f>
        <v>145000</v>
      </c>
      <c r="F43" s="618" t="str">
        <f>VLOOKUP($C$3,'Bảng tính toán'!$C$7:$CH$78,83,0)</f>
        <v>Chuyển khoản</v>
      </c>
      <c r="G43" s="619"/>
      <c r="H43" s="19"/>
    </row>
    <row r="44" spans="1:732" s="28" customFormat="1" hidden="1">
      <c r="A44" s="63">
        <f>E43</f>
        <v>145000</v>
      </c>
      <c r="B44" s="53" t="str">
        <f>RIGHT("000000000000"&amp;ROUND(A44,0),12)</f>
        <v>000000145000</v>
      </c>
      <c r="C44" s="53"/>
      <c r="D44" s="54">
        <v>1</v>
      </c>
      <c r="E44" s="54">
        <v>2</v>
      </c>
      <c r="F44" s="54">
        <v>3</v>
      </c>
      <c r="G44" s="55">
        <v>4</v>
      </c>
      <c r="H44" s="36">
        <v>5</v>
      </c>
      <c r="I44" s="37">
        <v>6</v>
      </c>
      <c r="J44" s="38">
        <v>7</v>
      </c>
      <c r="K44" s="38">
        <v>8</v>
      </c>
      <c r="L44" s="38">
        <v>9</v>
      </c>
      <c r="M44" s="39">
        <v>10</v>
      </c>
      <c r="N44" s="39">
        <v>11</v>
      </c>
      <c r="O44" s="39">
        <v>12</v>
      </c>
    </row>
    <row r="45" spans="1:732" s="28" customFormat="1" hidden="1">
      <c r="A45" s="64"/>
      <c r="B45" s="56"/>
      <c r="C45" s="56"/>
      <c r="D45" s="57">
        <f>VALUE(MID(B44,D44,1))</f>
        <v>0</v>
      </c>
      <c r="E45" s="57">
        <f>VALUE(MID(B44,E44,1))</f>
        <v>0</v>
      </c>
      <c r="F45" s="57">
        <f>VALUE(MID(B44,F44,1))</f>
        <v>0</v>
      </c>
      <c r="G45" s="58">
        <f>VALUE(MID(B44,G44,1))</f>
        <v>0</v>
      </c>
      <c r="H45" s="40">
        <f>VALUE(MID(B44,H44,1))</f>
        <v>0</v>
      </c>
      <c r="I45" s="41">
        <f>VALUE(MID(B44,I44,1))</f>
        <v>0</v>
      </c>
      <c r="J45" s="42">
        <f>VALUE(MID(B44,J44,1))</f>
        <v>1</v>
      </c>
      <c r="K45" s="42">
        <f>VALUE(MID(B44,K44,1))</f>
        <v>4</v>
      </c>
      <c r="L45" s="42">
        <f>VALUE(MID(B44,L44,1))</f>
        <v>5</v>
      </c>
      <c r="M45" s="43">
        <f>VALUE(MID(B44,M44,1))</f>
        <v>0</v>
      </c>
      <c r="N45" s="43">
        <f>VALUE(MID(B44,N44,1))</f>
        <v>0</v>
      </c>
      <c r="O45" s="43">
        <f>VALUE(MID(B44,O44,1))</f>
        <v>0</v>
      </c>
    </row>
    <row r="46" spans="1:732" s="28" customFormat="1" hidden="1">
      <c r="A46" s="64"/>
      <c r="B46" s="56"/>
      <c r="C46" s="56"/>
      <c r="D46" s="57">
        <f>SUM(D45:D45)</f>
        <v>0</v>
      </c>
      <c r="E46" s="57">
        <f>SUM(D45:E45)</f>
        <v>0</v>
      </c>
      <c r="F46" s="57">
        <f>SUM(D45:F45)</f>
        <v>0</v>
      </c>
      <c r="G46" s="58">
        <f>SUM(G45:G45)</f>
        <v>0</v>
      </c>
      <c r="H46" s="40">
        <f>SUM(G45:H45)</f>
        <v>0</v>
      </c>
      <c r="I46" s="41">
        <f>SUM(G45:I45)</f>
        <v>0</v>
      </c>
      <c r="J46" s="42">
        <f>SUM(J45:J45)</f>
        <v>1</v>
      </c>
      <c r="K46" s="42">
        <f>SUM(J45:K45)</f>
        <v>5</v>
      </c>
      <c r="L46" s="42">
        <f>SUM(J45:L45)</f>
        <v>10</v>
      </c>
      <c r="M46" s="43">
        <f>SUM(M45:M45)</f>
        <v>0</v>
      </c>
      <c r="N46" s="43">
        <f>SUM(M45:N45)</f>
        <v>0</v>
      </c>
      <c r="O46" s="43">
        <f>SUM(M45:O45)</f>
        <v>0</v>
      </c>
    </row>
    <row r="47" spans="1:732" s="28" customFormat="1" hidden="1">
      <c r="A47" s="64"/>
      <c r="B47" s="56"/>
      <c r="C47" s="56"/>
      <c r="D47" s="59" t="str">
        <f>IF(D45=0,"",CHOOSE(D45,"một","hai","ba","bốn","năm","sáu","bảy","tám","chín"))</f>
        <v/>
      </c>
      <c r="E47" s="59" t="str">
        <f>IF(E45=0,IF(AND(D45&lt;&gt;0,F45&lt;&gt;0),"lẻ",""),CHOOSE(E45,"mười","hai","ba","bốn","năm","sáu","bảy","tám","chín"))</f>
        <v/>
      </c>
      <c r="F47" s="59" t="str">
        <f>IF(F45=0,"",CHOOSE(F45,IF(E45&gt;1,"mốt","một"),"hai","ba","bốn",IF(E45=0,"năm","lăm"),"sáu","bảy","tám","chín"))</f>
        <v/>
      </c>
      <c r="G47" s="60" t="str">
        <f>IF(G45=0,"",CHOOSE(G45,"một","hai","ba","bốn","năm","sáu","bảy","tám","chín"))</f>
        <v/>
      </c>
      <c r="H47" s="44" t="str">
        <f>IF(H45=0,IF(AND(G45&lt;&gt;0,I45&lt;&gt;0),"lẻ",""),CHOOSE(H45,"mười","hai","ba","bốn","năm","sáu","bảy","tám","chín"))</f>
        <v/>
      </c>
      <c r="I47" s="45" t="str">
        <f>IF(I45=0,"",CHOOSE(I45,IF(H45&gt;1,"mốt","một"),"hai","ba","bốn",IF(H45=0,"năm","lăm"),"sáu","bảy","tám","chín"))</f>
        <v/>
      </c>
      <c r="J47" s="46" t="str">
        <f>IF(J45=0,"",CHOOSE(J45,"một","hai","ba","bốn","năm","sáu","bảy","tám","chín"))</f>
        <v>một</v>
      </c>
      <c r="K47" s="46" t="str">
        <f>IF(K45=0,IF(AND(J45&lt;&gt;0,L45&lt;&gt;0),"lẻ",""),CHOOSE(K45,"mười","hai","ba","bốn","năm","sáu","bảy","tám","chín"))</f>
        <v>bốn</v>
      </c>
      <c r="L47" s="46" t="str">
        <f>IF(L45=0,"",CHOOSE(L45,IF(K45&gt;1,"mốt","một"),"hai","ba","bốn",IF(K45=0,"năm","lăm"),"sáu","bảy","tám","chín"))</f>
        <v>lăm</v>
      </c>
      <c r="M47" s="47" t="str">
        <f>IF(M45=0,"",CHOOSE(M45,"một","hai","ba","bốn","năm","sáu","bảy","tám","chín"))</f>
        <v/>
      </c>
      <c r="N47" s="47" t="str">
        <f>IF(N45=0,IF(AND(M45&lt;&gt;0,O45&lt;&gt;0),"lẻ",""),CHOOSE(N45,"mười","hai","ba","bốn","năm","sáu","bảy","tám","chín"))</f>
        <v/>
      </c>
      <c r="O47" s="47" t="str">
        <f>IF(O45=0,"",CHOOSE(O45,IF(N45&gt;1,"mốt","một"),"hai","ba","bốn",IF(N45=0,"năm","lăm"),"sáu","bảy","tám","chín"))</f>
        <v/>
      </c>
    </row>
    <row r="48" spans="1:732" s="28" customFormat="1" hidden="1">
      <c r="A48" s="64"/>
      <c r="B48" s="56"/>
      <c r="C48" s="56"/>
      <c r="D48" s="61" t="str">
        <f>IF(D45=0,"","trăm")</f>
        <v/>
      </c>
      <c r="E48" s="61" t="str">
        <f>IF(E45=0,"",IF(E45=1,"","mươi"))</f>
        <v/>
      </c>
      <c r="F48" s="61" t="str">
        <f>IF(AND(F45=0,F46=0),"","tỷ")</f>
        <v/>
      </c>
      <c r="G48" s="62" t="str">
        <f>IF(G45=0,"","trăm")</f>
        <v/>
      </c>
      <c r="H48" s="48" t="str">
        <f>IF(H45=0,"",IF(H45=1,"","mươi"))</f>
        <v/>
      </c>
      <c r="I48" s="49" t="str">
        <f>IF(AND(I45=0,I46=0),"","triệu")</f>
        <v/>
      </c>
      <c r="J48" s="50" t="str">
        <f>IF(J45=0,"","trăm")</f>
        <v>trăm</v>
      </c>
      <c r="K48" s="50" t="str">
        <f>IF(K45=0,"",IF(K45=1,"","mươi"))</f>
        <v>mươi</v>
      </c>
      <c r="L48" s="50" t="str">
        <f>IF(AND(L45=0,L46=0),"","ngàn")</f>
        <v>ngàn</v>
      </c>
      <c r="M48" s="51" t="str">
        <f>IF(M45=0,"","trăm")</f>
        <v/>
      </c>
      <c r="N48" s="51" t="str">
        <f>IF(N45=0,"",IF(N45=1,"","mươi"))</f>
        <v/>
      </c>
      <c r="O48" s="51" t="s">
        <v>24</v>
      </c>
    </row>
    <row r="49" spans="1:732" s="28" customFormat="1" ht="20.25" customHeight="1">
      <c r="A49" s="65"/>
      <c r="B49" s="615" t="str">
        <f>"Bằng chữ :"&amp;" "&amp;UPPER(LEFT(TRIM(IF(B44=0,"không đồng.",E47&amp;" "&amp;E48&amp;" "&amp;F47&amp;" "&amp;F48&amp;" "&amp;G47&amp;" "&amp;G48&amp;" "&amp;H47&amp;" "&amp;H48&amp;" "&amp;I47&amp;" "&amp;I48&amp;" "&amp;J47&amp;" "&amp;J48&amp;" "&amp;K47&amp;" "&amp;K48&amp;" "&amp;L47&amp;" "&amp;L48&amp;" "&amp;M47&amp;" "&amp;M48&amp;" "&amp;N47&amp;" "&amp;N48&amp;" "&amp;O47&amp;" "&amp;O48&amp;" "&amp;P47&amp;" "&amp;P48)),1))&amp;RIGHT(TRIM(IF(B44=0,"không đồng.",E47&amp;" "&amp;E48&amp;" "&amp;F47&amp;" "&amp;F48&amp;" "&amp;G47&amp;" "&amp;G48&amp;" "&amp;H47&amp;" "&amp;H48&amp;" "&amp;I47&amp;" "&amp;I48&amp;" "&amp;J47&amp;" "&amp;J48&amp;" "&amp;K47&amp;" "&amp;K48&amp;" "&amp;L47&amp;" "&amp;L48&amp;" "&amp;M47&amp;" "&amp;M48&amp;" "&amp;N47&amp;" "&amp;N48&amp;" "&amp;O47&amp;" "&amp;O48&amp;" "&amp;P47&amp;" "&amp;P48)),LEN(TRIM(IF(B44=0,"không đồng.",E47&amp;" "&amp;E48&amp;" "&amp;F47&amp;" "&amp;F48&amp;" "&amp;G47&amp;" "&amp;G48&amp;" "&amp;H47&amp;" "&amp;H48&amp;" "&amp;I47&amp;" "&amp;I48&amp;" "&amp;J47&amp;" "&amp;J48&amp;" "&amp;K47&amp;" "&amp;K48&amp;" "&amp;L47&amp;" "&amp;L48&amp;" "&amp;M47&amp;" "&amp;M48&amp;" "&amp;N47&amp;" "&amp;N48&amp;" "&amp;O47&amp;" "&amp;O48&amp;" "&amp;P47&amp;" "&amp;P48)))-1)</f>
        <v>Bằng chữ : Một trăm bốn mươi lăm ngàn đồng.</v>
      </c>
      <c r="C49" s="615"/>
      <c r="D49" s="615"/>
      <c r="E49" s="615"/>
      <c r="F49" s="615"/>
      <c r="G49" s="616"/>
      <c r="H49" s="40"/>
      <c r="I49" s="52"/>
      <c r="J49" s="52"/>
      <c r="K49" s="52"/>
      <c r="L49" s="52"/>
      <c r="M49" s="52"/>
      <c r="N49" s="52"/>
      <c r="O49" s="52"/>
      <c r="IU49" s="8"/>
      <c r="IV49" s="8"/>
      <c r="IW49" s="8"/>
      <c r="IX49" s="8"/>
      <c r="IY49" s="8"/>
      <c r="IZ49" s="8"/>
      <c r="JA49" s="8"/>
      <c r="JB49" s="8"/>
      <c r="JC49" s="8"/>
      <c r="JD49" s="8"/>
      <c r="JE49" s="8"/>
      <c r="JF49" s="8"/>
      <c r="JG49" s="8"/>
      <c r="JH49" s="8"/>
      <c r="JI49" s="8"/>
      <c r="JJ49" s="8"/>
      <c r="JK49" s="8"/>
      <c r="JL49" s="8"/>
      <c r="JM49" s="8"/>
      <c r="JN49" s="8"/>
      <c r="JO49" s="8"/>
      <c r="JP49" s="8"/>
      <c r="JQ49" s="8"/>
      <c r="JR49" s="8"/>
      <c r="JS49" s="8"/>
      <c r="JT49" s="8"/>
      <c r="JU49" s="8"/>
      <c r="JV49" s="8"/>
      <c r="JW49" s="8"/>
      <c r="JX49" s="8"/>
      <c r="JY49" s="8"/>
      <c r="JZ49" s="8"/>
      <c r="KA49" s="8"/>
      <c r="KB49" s="8"/>
      <c r="KC49" s="8"/>
      <c r="KD49" s="8"/>
      <c r="KE49" s="8"/>
      <c r="KF49" s="8"/>
      <c r="KG49" s="8"/>
      <c r="KH49" s="8"/>
      <c r="KI49" s="8"/>
      <c r="KJ49" s="8"/>
      <c r="KK49" s="8"/>
      <c r="KL49" s="8"/>
      <c r="KM49" s="8"/>
      <c r="KN49" s="8"/>
      <c r="KO49" s="8"/>
      <c r="KP49" s="8"/>
      <c r="KQ49" s="8"/>
      <c r="KR49" s="8"/>
      <c r="KS49" s="8"/>
      <c r="KT49" s="8"/>
      <c r="KU49" s="8"/>
      <c r="KV49" s="8"/>
      <c r="KW49" s="8"/>
      <c r="KX49" s="8"/>
      <c r="KY49" s="8"/>
      <c r="KZ49" s="8"/>
      <c r="LA49" s="8"/>
      <c r="LB49" s="8"/>
      <c r="LC49" s="8"/>
      <c r="LD49" s="8"/>
      <c r="LE49" s="8"/>
      <c r="LF49" s="8"/>
      <c r="LG49" s="8"/>
      <c r="LH49" s="8"/>
      <c r="LI49" s="8"/>
      <c r="LJ49" s="8"/>
      <c r="LK49" s="8"/>
      <c r="LL49" s="8"/>
      <c r="LM49" s="8"/>
      <c r="LN49" s="8"/>
      <c r="LO49" s="8"/>
      <c r="LP49" s="8"/>
      <c r="LQ49" s="8"/>
      <c r="LR49" s="8"/>
      <c r="LS49" s="8"/>
      <c r="LT49" s="8"/>
      <c r="LU49" s="8"/>
      <c r="LV49" s="8"/>
      <c r="LW49" s="8"/>
      <c r="LX49" s="8"/>
      <c r="LY49" s="8"/>
      <c r="LZ49" s="8"/>
      <c r="MA49" s="8"/>
      <c r="MB49" s="8"/>
      <c r="MC49" s="8"/>
      <c r="MD49" s="8"/>
      <c r="ME49" s="8"/>
      <c r="MF49" s="8"/>
      <c r="MG49" s="8"/>
      <c r="MH49" s="8"/>
      <c r="MI49" s="8"/>
      <c r="MJ49" s="8"/>
      <c r="MK49" s="8"/>
      <c r="ML49" s="8"/>
      <c r="MM49" s="8"/>
      <c r="MN49" s="8"/>
      <c r="MO49" s="8"/>
      <c r="MP49" s="8"/>
      <c r="MQ49" s="8"/>
      <c r="MR49" s="8"/>
      <c r="MS49" s="8"/>
      <c r="MT49" s="8"/>
      <c r="MU49" s="8"/>
      <c r="MV49" s="8"/>
      <c r="MW49" s="8"/>
      <c r="MX49" s="8"/>
      <c r="MY49" s="8"/>
      <c r="MZ49" s="8"/>
      <c r="NA49" s="8"/>
      <c r="NB49" s="8"/>
      <c r="NC49" s="8"/>
      <c r="ND49" s="8"/>
      <c r="NE49" s="8"/>
      <c r="NF49" s="8"/>
      <c r="NG49" s="8"/>
      <c r="NH49" s="8"/>
      <c r="NI49" s="8"/>
      <c r="NJ49" s="8"/>
      <c r="NK49" s="8"/>
      <c r="NL49" s="8"/>
      <c r="NM49" s="8"/>
      <c r="NN49" s="8"/>
      <c r="NO49" s="8"/>
      <c r="NP49" s="8"/>
      <c r="NQ49" s="8"/>
      <c r="NR49" s="8"/>
      <c r="NS49" s="8"/>
      <c r="NT49" s="8"/>
      <c r="NU49" s="8"/>
      <c r="NV49" s="8"/>
      <c r="NW49" s="8"/>
      <c r="NX49" s="8"/>
      <c r="NY49" s="8"/>
      <c r="NZ49" s="8"/>
      <c r="OA49" s="8"/>
      <c r="OB49" s="8"/>
      <c r="OC49" s="8"/>
      <c r="OD49" s="8"/>
      <c r="OE49" s="8"/>
      <c r="OF49" s="8"/>
      <c r="OG49" s="8"/>
      <c r="OH49" s="8"/>
      <c r="OI49" s="8"/>
      <c r="OJ49" s="8"/>
      <c r="OK49" s="8"/>
      <c r="OL49" s="8"/>
      <c r="OM49" s="8"/>
      <c r="ON49" s="8"/>
      <c r="OO49" s="8"/>
      <c r="OP49" s="8"/>
      <c r="OQ49" s="8"/>
      <c r="OR49" s="8"/>
      <c r="OS49" s="8"/>
      <c r="OT49" s="8"/>
      <c r="OU49" s="8"/>
      <c r="OV49" s="8"/>
      <c r="OW49" s="8"/>
      <c r="OX49" s="8"/>
      <c r="OY49" s="8"/>
      <c r="OZ49" s="8"/>
      <c r="PA49" s="8"/>
      <c r="PB49" s="8"/>
      <c r="PC49" s="8"/>
      <c r="PD49" s="8"/>
      <c r="PE49" s="8"/>
      <c r="PF49" s="8"/>
      <c r="PG49" s="8"/>
      <c r="PH49" s="8"/>
      <c r="PI49" s="8"/>
      <c r="PJ49" s="8"/>
      <c r="PK49" s="8"/>
      <c r="PL49" s="8"/>
      <c r="PM49" s="8"/>
      <c r="PN49" s="8"/>
      <c r="PO49" s="8"/>
      <c r="PP49" s="8"/>
      <c r="PQ49" s="8"/>
      <c r="PR49" s="8"/>
      <c r="PS49" s="8"/>
      <c r="PT49" s="8"/>
      <c r="PU49" s="8"/>
      <c r="PV49" s="8"/>
      <c r="PW49" s="8"/>
      <c r="PX49" s="8"/>
      <c r="PY49" s="8"/>
      <c r="PZ49" s="8"/>
      <c r="QA49" s="8"/>
      <c r="QB49" s="8"/>
      <c r="QC49" s="8"/>
      <c r="QD49" s="8"/>
      <c r="QE49" s="8"/>
      <c r="QF49" s="8"/>
      <c r="QG49" s="8"/>
      <c r="QH49" s="8"/>
      <c r="QI49" s="8"/>
      <c r="QJ49" s="8"/>
      <c r="QK49" s="8"/>
      <c r="QL49" s="8"/>
      <c r="QM49" s="8"/>
      <c r="QN49" s="8"/>
      <c r="QO49" s="8"/>
      <c r="QP49" s="8"/>
      <c r="QQ49" s="8"/>
      <c r="QR49" s="8"/>
      <c r="QS49" s="8"/>
      <c r="QT49" s="8"/>
      <c r="QU49" s="8"/>
      <c r="QV49" s="8"/>
      <c r="QW49" s="8"/>
      <c r="QX49" s="8"/>
      <c r="QY49" s="8"/>
      <c r="QZ49" s="8"/>
      <c r="RA49" s="8"/>
      <c r="RB49" s="8"/>
      <c r="RC49" s="8"/>
      <c r="RD49" s="8"/>
      <c r="RE49" s="8"/>
      <c r="RF49" s="8"/>
      <c r="RG49" s="8"/>
      <c r="RH49" s="8"/>
      <c r="RI49" s="8"/>
      <c r="RJ49" s="8"/>
      <c r="RK49" s="8"/>
      <c r="RL49" s="8"/>
      <c r="RM49" s="8"/>
      <c r="RN49" s="8"/>
      <c r="RO49" s="8"/>
      <c r="RP49" s="8"/>
      <c r="RQ49" s="8"/>
      <c r="RR49" s="8"/>
      <c r="RS49" s="8"/>
      <c r="RT49" s="8"/>
      <c r="RU49" s="8"/>
      <c r="RV49" s="8"/>
      <c r="RW49" s="8"/>
      <c r="RX49" s="8"/>
      <c r="RY49" s="8"/>
      <c r="RZ49" s="8"/>
      <c r="SA49" s="8"/>
      <c r="SB49" s="8"/>
      <c r="SC49" s="8"/>
      <c r="SD49" s="8"/>
      <c r="SE49" s="8"/>
      <c r="SF49" s="8"/>
      <c r="SG49" s="8"/>
      <c r="SH49" s="8"/>
      <c r="SI49" s="8"/>
      <c r="SJ49" s="8"/>
      <c r="SK49" s="8"/>
      <c r="SL49" s="8"/>
      <c r="SM49" s="8"/>
      <c r="SN49" s="8"/>
      <c r="SO49" s="8"/>
      <c r="SP49" s="8"/>
      <c r="SQ49" s="8"/>
      <c r="SR49" s="8"/>
      <c r="SS49" s="8"/>
      <c r="ST49" s="8"/>
      <c r="SU49" s="8"/>
      <c r="SV49" s="8"/>
      <c r="SW49" s="8"/>
      <c r="SX49" s="8"/>
      <c r="SY49" s="8"/>
      <c r="SZ49" s="8"/>
      <c r="TA49" s="8"/>
      <c r="TB49" s="8"/>
      <c r="TC49" s="8"/>
      <c r="TD49" s="8"/>
      <c r="TE49" s="8"/>
      <c r="TF49" s="8"/>
      <c r="TG49" s="8"/>
      <c r="TH49" s="8"/>
      <c r="TI49" s="8"/>
      <c r="TJ49" s="8"/>
      <c r="TK49" s="8"/>
      <c r="TL49" s="8"/>
      <c r="TM49" s="8"/>
      <c r="TN49" s="8"/>
      <c r="TO49" s="8"/>
      <c r="TP49" s="8"/>
      <c r="TQ49" s="8"/>
      <c r="TR49" s="8"/>
      <c r="TS49" s="8"/>
      <c r="TT49" s="8"/>
      <c r="TU49" s="8"/>
      <c r="TV49" s="8"/>
      <c r="TW49" s="8"/>
      <c r="TX49" s="8"/>
      <c r="TY49" s="8"/>
      <c r="TZ49" s="8"/>
      <c r="UA49" s="8"/>
      <c r="UB49" s="8"/>
      <c r="UC49" s="8"/>
      <c r="UD49" s="8"/>
      <c r="UE49" s="8"/>
      <c r="UF49" s="8"/>
      <c r="UG49" s="8"/>
      <c r="UH49" s="8"/>
      <c r="UI49" s="8"/>
      <c r="UJ49" s="8"/>
      <c r="UK49" s="8"/>
      <c r="UL49" s="8"/>
      <c r="UM49" s="8"/>
      <c r="UN49" s="8"/>
      <c r="UO49" s="8"/>
      <c r="UP49" s="8"/>
      <c r="UQ49" s="8"/>
      <c r="UR49" s="8"/>
      <c r="US49" s="8"/>
      <c r="UT49" s="8"/>
      <c r="UU49" s="8"/>
      <c r="UV49" s="8"/>
      <c r="UW49" s="8"/>
      <c r="UX49" s="8"/>
      <c r="UY49" s="8"/>
      <c r="UZ49" s="8"/>
      <c r="VA49" s="8"/>
      <c r="VB49" s="8"/>
      <c r="VC49" s="8"/>
      <c r="VD49" s="8"/>
      <c r="VE49" s="8"/>
      <c r="VF49" s="8"/>
      <c r="VG49" s="8"/>
      <c r="VH49" s="8"/>
      <c r="VI49" s="8"/>
      <c r="VJ49" s="8"/>
      <c r="VK49" s="8"/>
      <c r="VL49" s="8"/>
      <c r="VM49" s="8"/>
      <c r="VN49" s="8"/>
      <c r="VO49" s="8"/>
      <c r="VP49" s="8"/>
      <c r="VQ49" s="8"/>
      <c r="VR49" s="8"/>
      <c r="VS49" s="8"/>
      <c r="VT49" s="8"/>
      <c r="VU49" s="8"/>
      <c r="VV49" s="8"/>
      <c r="VW49" s="8"/>
      <c r="VX49" s="8"/>
      <c r="VY49" s="8"/>
      <c r="VZ49" s="8"/>
      <c r="WA49" s="8"/>
      <c r="WB49" s="8"/>
      <c r="WC49" s="8"/>
      <c r="WD49" s="8"/>
      <c r="WE49" s="8"/>
      <c r="WF49" s="8"/>
      <c r="WG49" s="8"/>
      <c r="WH49" s="8"/>
      <c r="WI49" s="8"/>
      <c r="WJ49" s="8"/>
      <c r="WK49" s="8"/>
      <c r="WL49" s="8"/>
      <c r="WM49" s="8"/>
      <c r="WN49" s="8"/>
      <c r="WO49" s="8"/>
      <c r="WP49" s="8"/>
      <c r="WQ49" s="8"/>
      <c r="WR49" s="8"/>
      <c r="WS49" s="8"/>
      <c r="WT49" s="8"/>
      <c r="WU49" s="8"/>
      <c r="WV49" s="8"/>
      <c r="WW49" s="8"/>
      <c r="WX49" s="8"/>
      <c r="WY49" s="8"/>
      <c r="WZ49" s="8"/>
      <c r="XA49" s="8"/>
      <c r="XB49" s="8"/>
      <c r="XC49" s="8"/>
      <c r="XD49" s="8"/>
      <c r="XE49" s="8"/>
      <c r="XF49" s="8"/>
      <c r="XG49" s="8"/>
      <c r="XH49" s="8"/>
      <c r="XI49" s="8"/>
      <c r="XJ49" s="8"/>
      <c r="XK49" s="8"/>
      <c r="XL49" s="8"/>
      <c r="XM49" s="8"/>
      <c r="XN49" s="8"/>
      <c r="XO49" s="8"/>
      <c r="XP49" s="8"/>
      <c r="XQ49" s="8"/>
      <c r="XR49" s="8"/>
      <c r="XS49" s="8"/>
      <c r="XT49" s="8"/>
      <c r="XU49" s="8"/>
      <c r="XV49" s="8"/>
      <c r="XW49" s="8"/>
      <c r="XX49" s="8"/>
      <c r="XY49" s="8"/>
      <c r="XZ49" s="8"/>
      <c r="YA49" s="8"/>
      <c r="YB49" s="8"/>
      <c r="YC49" s="8"/>
      <c r="YD49" s="8"/>
      <c r="YE49" s="8"/>
      <c r="YF49" s="8"/>
      <c r="YG49" s="8"/>
      <c r="YH49" s="8"/>
      <c r="YI49" s="8"/>
      <c r="YJ49" s="8"/>
      <c r="YK49" s="8"/>
      <c r="YL49" s="8"/>
      <c r="YM49" s="8"/>
      <c r="YN49" s="8"/>
      <c r="YO49" s="8"/>
      <c r="YP49" s="8"/>
      <c r="YQ49" s="8"/>
      <c r="YR49" s="8"/>
      <c r="YS49" s="8"/>
      <c r="YT49" s="8"/>
      <c r="YU49" s="8"/>
      <c r="YV49" s="8"/>
      <c r="YW49" s="8"/>
      <c r="YX49" s="8"/>
      <c r="YY49" s="8"/>
      <c r="YZ49" s="8"/>
      <c r="ZA49" s="8"/>
      <c r="ZB49" s="8"/>
      <c r="ZC49" s="8"/>
      <c r="ZD49" s="8"/>
      <c r="ZE49" s="8"/>
      <c r="ZF49" s="8"/>
      <c r="ZG49" s="8"/>
      <c r="ZH49" s="8"/>
      <c r="ZI49" s="8"/>
      <c r="ZJ49" s="8"/>
      <c r="ZK49" s="8"/>
      <c r="ZL49" s="8"/>
      <c r="ZM49" s="8"/>
      <c r="ZN49" s="8"/>
      <c r="ZO49" s="8"/>
      <c r="ZP49" s="8"/>
      <c r="ZQ49" s="8"/>
      <c r="ZR49" s="8"/>
      <c r="ZS49" s="8"/>
      <c r="ZT49" s="8"/>
      <c r="ZU49" s="8"/>
      <c r="ZV49" s="8"/>
      <c r="ZW49" s="8"/>
      <c r="ZX49" s="8"/>
      <c r="ZY49" s="8"/>
      <c r="ZZ49" s="8"/>
      <c r="AAA49" s="8"/>
      <c r="AAB49" s="8"/>
      <c r="AAC49" s="8"/>
      <c r="AAD49" s="8"/>
      <c r="AAE49" s="8"/>
      <c r="AAF49" s="8"/>
      <c r="AAG49" s="8"/>
      <c r="AAH49" s="8"/>
      <c r="AAI49" s="8"/>
      <c r="AAJ49" s="8"/>
      <c r="AAK49" s="8"/>
      <c r="AAL49" s="8"/>
      <c r="AAM49" s="8"/>
      <c r="AAN49" s="8"/>
      <c r="AAO49" s="8"/>
      <c r="AAP49" s="8"/>
      <c r="AAQ49" s="8"/>
      <c r="AAR49" s="8"/>
      <c r="AAS49" s="8"/>
      <c r="AAT49" s="8"/>
      <c r="AAU49" s="8"/>
      <c r="AAV49" s="8"/>
      <c r="AAW49" s="8"/>
      <c r="AAX49" s="8"/>
      <c r="AAY49" s="8"/>
      <c r="AAZ49" s="8"/>
      <c r="ABA49" s="8"/>
      <c r="ABB49" s="8"/>
      <c r="ABC49" s="8"/>
      <c r="ABD49" s="8"/>
    </row>
    <row r="50" spans="1:732" s="28" customFormat="1" ht="28.5" hidden="1" customHeight="1">
      <c r="A50" s="585" t="s">
        <v>278</v>
      </c>
      <c r="B50" s="586"/>
      <c r="C50" s="586"/>
      <c r="D50" s="586"/>
      <c r="E50" s="586"/>
      <c r="F50" s="594" t="e">
        <f>VLOOKUP($C$3,'Bảng tính toán'!$C$7:$CH$78,88,0)</f>
        <v>#REF!</v>
      </c>
      <c r="G50" s="594"/>
      <c r="H50" s="40"/>
      <c r="I50" s="52"/>
      <c r="J50" s="52"/>
      <c r="K50" s="52"/>
      <c r="L50" s="52"/>
      <c r="M50" s="52"/>
      <c r="N50" s="52"/>
      <c r="O50" s="52"/>
      <c r="IU50" s="8"/>
      <c r="IV50" s="8"/>
      <c r="IW50" s="8"/>
      <c r="IX50" s="8"/>
      <c r="IY50" s="8"/>
      <c r="IZ50" s="8"/>
      <c r="JA50" s="8"/>
      <c r="JB50" s="8"/>
      <c r="JC50" s="8"/>
      <c r="JD50" s="8"/>
      <c r="JE50" s="8"/>
      <c r="JF50" s="8"/>
      <c r="JG50" s="8"/>
      <c r="JH50" s="8"/>
      <c r="JI50" s="8"/>
      <c r="JJ50" s="8"/>
      <c r="JK50" s="8"/>
      <c r="JL50" s="8"/>
      <c r="JM50" s="8"/>
      <c r="JN50" s="8"/>
      <c r="JO50" s="8"/>
      <c r="JP50" s="8"/>
      <c r="JQ50" s="8"/>
      <c r="JR50" s="8"/>
      <c r="JS50" s="8"/>
      <c r="JT50" s="8"/>
      <c r="JU50" s="8"/>
      <c r="JV50" s="8"/>
      <c r="JW50" s="8"/>
      <c r="JX50" s="8"/>
      <c r="JY50" s="8"/>
      <c r="JZ50" s="8"/>
      <c r="KA50" s="8"/>
      <c r="KB50" s="8"/>
      <c r="KC50" s="8"/>
      <c r="KD50" s="8"/>
      <c r="KE50" s="8"/>
      <c r="KF50" s="8"/>
      <c r="KG50" s="8"/>
      <c r="KH50" s="8"/>
      <c r="KI50" s="8"/>
      <c r="KJ50" s="8"/>
      <c r="KK50" s="8"/>
      <c r="KL50" s="8"/>
      <c r="KM50" s="8"/>
      <c r="KN50" s="8"/>
      <c r="KO50" s="8"/>
      <c r="KP50" s="8"/>
      <c r="KQ50" s="8"/>
      <c r="KR50" s="8"/>
      <c r="KS50" s="8"/>
      <c r="KT50" s="8"/>
      <c r="KU50" s="8"/>
      <c r="KV50" s="8"/>
      <c r="KW50" s="8"/>
      <c r="KX50" s="8"/>
      <c r="KY50" s="8"/>
      <c r="KZ50" s="8"/>
      <c r="LA50" s="8"/>
      <c r="LB50" s="8"/>
      <c r="LC50" s="8"/>
      <c r="LD50" s="8"/>
      <c r="LE50" s="8"/>
      <c r="LF50" s="8"/>
      <c r="LG50" s="8"/>
      <c r="LH50" s="8"/>
      <c r="LI50" s="8"/>
      <c r="LJ50" s="8"/>
      <c r="LK50" s="8"/>
      <c r="LL50" s="8"/>
      <c r="LM50" s="8"/>
      <c r="LN50" s="8"/>
      <c r="LO50" s="8"/>
      <c r="LP50" s="8"/>
      <c r="LQ50" s="8"/>
      <c r="LR50" s="8"/>
      <c r="LS50" s="8"/>
      <c r="LT50" s="8"/>
      <c r="LU50" s="8"/>
      <c r="LV50" s="8"/>
      <c r="LW50" s="8"/>
      <c r="LX50" s="8"/>
      <c r="LY50" s="8"/>
      <c r="LZ50" s="8"/>
      <c r="MA50" s="8"/>
      <c r="MB50" s="8"/>
      <c r="MC50" s="8"/>
      <c r="MD50" s="8"/>
      <c r="ME50" s="8"/>
      <c r="MF50" s="8"/>
      <c r="MG50" s="8"/>
      <c r="MH50" s="8"/>
      <c r="MI50" s="8"/>
      <c r="MJ50" s="8"/>
      <c r="MK50" s="8"/>
      <c r="ML50" s="8"/>
      <c r="MM50" s="8"/>
      <c r="MN50" s="8"/>
      <c r="MO50" s="8"/>
      <c r="MP50" s="8"/>
      <c r="MQ50" s="8"/>
      <c r="MR50" s="8"/>
      <c r="MS50" s="8"/>
      <c r="MT50" s="8"/>
      <c r="MU50" s="8"/>
      <c r="MV50" s="8"/>
      <c r="MW50" s="8"/>
      <c r="MX50" s="8"/>
      <c r="MY50" s="8"/>
      <c r="MZ50" s="8"/>
      <c r="NA50" s="8"/>
      <c r="NB50" s="8"/>
      <c r="NC50" s="8"/>
      <c r="ND50" s="8"/>
      <c r="NE50" s="8"/>
      <c r="NF50" s="8"/>
      <c r="NG50" s="8"/>
      <c r="NH50" s="8"/>
      <c r="NI50" s="8"/>
      <c r="NJ50" s="8"/>
      <c r="NK50" s="8"/>
      <c r="NL50" s="8"/>
      <c r="NM50" s="8"/>
      <c r="NN50" s="8"/>
      <c r="NO50" s="8"/>
      <c r="NP50" s="8"/>
      <c r="NQ50" s="8"/>
      <c r="NR50" s="8"/>
      <c r="NS50" s="8"/>
      <c r="NT50" s="8"/>
      <c r="NU50" s="8"/>
      <c r="NV50" s="8"/>
      <c r="NW50" s="8"/>
      <c r="NX50" s="8"/>
      <c r="NY50" s="8"/>
      <c r="NZ50" s="8"/>
      <c r="OA50" s="8"/>
      <c r="OB50" s="8"/>
      <c r="OC50" s="8"/>
      <c r="OD50" s="8"/>
      <c r="OE50" s="8"/>
      <c r="OF50" s="8"/>
      <c r="OG50" s="8"/>
      <c r="OH50" s="8"/>
      <c r="OI50" s="8"/>
      <c r="OJ50" s="8"/>
      <c r="OK50" s="8"/>
      <c r="OL50" s="8"/>
      <c r="OM50" s="8"/>
      <c r="ON50" s="8"/>
      <c r="OO50" s="8"/>
      <c r="OP50" s="8"/>
      <c r="OQ50" s="8"/>
      <c r="OR50" s="8"/>
      <c r="OS50" s="8"/>
      <c r="OT50" s="8"/>
      <c r="OU50" s="8"/>
      <c r="OV50" s="8"/>
      <c r="OW50" s="8"/>
      <c r="OX50" s="8"/>
      <c r="OY50" s="8"/>
      <c r="OZ50" s="8"/>
      <c r="PA50" s="8"/>
      <c r="PB50" s="8"/>
      <c r="PC50" s="8"/>
      <c r="PD50" s="8"/>
      <c r="PE50" s="8"/>
      <c r="PF50" s="8"/>
      <c r="PG50" s="8"/>
      <c r="PH50" s="8"/>
      <c r="PI50" s="8"/>
      <c r="PJ50" s="8"/>
      <c r="PK50" s="8"/>
      <c r="PL50" s="8"/>
      <c r="PM50" s="8"/>
      <c r="PN50" s="8"/>
      <c r="PO50" s="8"/>
      <c r="PP50" s="8"/>
      <c r="PQ50" s="8"/>
      <c r="PR50" s="8"/>
      <c r="PS50" s="8"/>
      <c r="PT50" s="8"/>
      <c r="PU50" s="8"/>
      <c r="PV50" s="8"/>
      <c r="PW50" s="8"/>
      <c r="PX50" s="8"/>
      <c r="PY50" s="8"/>
      <c r="PZ50" s="8"/>
      <c r="QA50" s="8"/>
      <c r="QB50" s="8"/>
      <c r="QC50" s="8"/>
      <c r="QD50" s="8"/>
      <c r="QE50" s="8"/>
      <c r="QF50" s="8"/>
      <c r="QG50" s="8"/>
      <c r="QH50" s="8"/>
      <c r="QI50" s="8"/>
      <c r="QJ50" s="8"/>
      <c r="QK50" s="8"/>
      <c r="QL50" s="8"/>
      <c r="QM50" s="8"/>
      <c r="QN50" s="8"/>
      <c r="QO50" s="8"/>
      <c r="QP50" s="8"/>
      <c r="QQ50" s="8"/>
      <c r="QR50" s="8"/>
      <c r="QS50" s="8"/>
      <c r="QT50" s="8"/>
      <c r="QU50" s="8"/>
      <c r="QV50" s="8"/>
      <c r="QW50" s="8"/>
      <c r="QX50" s="8"/>
      <c r="QY50" s="8"/>
      <c r="QZ50" s="8"/>
      <c r="RA50" s="8"/>
      <c r="RB50" s="8"/>
      <c r="RC50" s="8"/>
      <c r="RD50" s="8"/>
      <c r="RE50" s="8"/>
      <c r="RF50" s="8"/>
      <c r="RG50" s="8"/>
      <c r="RH50" s="8"/>
      <c r="RI50" s="8"/>
      <c r="RJ50" s="8"/>
      <c r="RK50" s="8"/>
      <c r="RL50" s="8"/>
      <c r="RM50" s="8"/>
      <c r="RN50" s="8"/>
      <c r="RO50" s="8"/>
      <c r="RP50" s="8"/>
      <c r="RQ50" s="8"/>
      <c r="RR50" s="8"/>
      <c r="RS50" s="8"/>
      <c r="RT50" s="8"/>
      <c r="RU50" s="8"/>
      <c r="RV50" s="8"/>
      <c r="RW50" s="8"/>
      <c r="RX50" s="8"/>
      <c r="RY50" s="8"/>
      <c r="RZ50" s="8"/>
      <c r="SA50" s="8"/>
      <c r="SB50" s="8"/>
      <c r="SC50" s="8"/>
      <c r="SD50" s="8"/>
      <c r="SE50" s="8"/>
      <c r="SF50" s="8"/>
      <c r="SG50" s="8"/>
      <c r="SH50" s="8"/>
      <c r="SI50" s="8"/>
      <c r="SJ50" s="8"/>
      <c r="SK50" s="8"/>
      <c r="SL50" s="8"/>
      <c r="SM50" s="8"/>
      <c r="SN50" s="8"/>
      <c r="SO50" s="8"/>
      <c r="SP50" s="8"/>
      <c r="SQ50" s="8"/>
      <c r="SR50" s="8"/>
      <c r="SS50" s="8"/>
      <c r="ST50" s="8"/>
      <c r="SU50" s="8"/>
      <c r="SV50" s="8"/>
      <c r="SW50" s="8"/>
      <c r="SX50" s="8"/>
      <c r="SY50" s="8"/>
      <c r="SZ50" s="8"/>
      <c r="TA50" s="8"/>
      <c r="TB50" s="8"/>
      <c r="TC50" s="8"/>
      <c r="TD50" s="8"/>
      <c r="TE50" s="8"/>
      <c r="TF50" s="8"/>
      <c r="TG50" s="8"/>
      <c r="TH50" s="8"/>
      <c r="TI50" s="8"/>
      <c r="TJ50" s="8"/>
      <c r="TK50" s="8"/>
      <c r="TL50" s="8"/>
      <c r="TM50" s="8"/>
      <c r="TN50" s="8"/>
      <c r="TO50" s="8"/>
      <c r="TP50" s="8"/>
      <c r="TQ50" s="8"/>
      <c r="TR50" s="8"/>
      <c r="TS50" s="8"/>
      <c r="TT50" s="8"/>
      <c r="TU50" s="8"/>
      <c r="TV50" s="8"/>
      <c r="TW50" s="8"/>
      <c r="TX50" s="8"/>
      <c r="TY50" s="8"/>
      <c r="TZ50" s="8"/>
      <c r="UA50" s="8"/>
      <c r="UB50" s="8"/>
      <c r="UC50" s="8"/>
      <c r="UD50" s="8"/>
      <c r="UE50" s="8"/>
      <c r="UF50" s="8"/>
      <c r="UG50" s="8"/>
      <c r="UH50" s="8"/>
      <c r="UI50" s="8"/>
      <c r="UJ50" s="8"/>
      <c r="UK50" s="8"/>
      <c r="UL50" s="8"/>
      <c r="UM50" s="8"/>
      <c r="UN50" s="8"/>
      <c r="UO50" s="8"/>
      <c r="UP50" s="8"/>
      <c r="UQ50" s="8"/>
      <c r="UR50" s="8"/>
      <c r="US50" s="8"/>
      <c r="UT50" s="8"/>
      <c r="UU50" s="8"/>
      <c r="UV50" s="8"/>
      <c r="UW50" s="8"/>
      <c r="UX50" s="8"/>
      <c r="UY50" s="8"/>
      <c r="UZ50" s="8"/>
      <c r="VA50" s="8"/>
      <c r="VB50" s="8"/>
      <c r="VC50" s="8"/>
      <c r="VD50" s="8"/>
      <c r="VE50" s="8"/>
      <c r="VF50" s="8"/>
      <c r="VG50" s="8"/>
      <c r="VH50" s="8"/>
      <c r="VI50" s="8"/>
      <c r="VJ50" s="8"/>
      <c r="VK50" s="8"/>
      <c r="VL50" s="8"/>
      <c r="VM50" s="8"/>
      <c r="VN50" s="8"/>
      <c r="VO50" s="8"/>
      <c r="VP50" s="8"/>
      <c r="VQ50" s="8"/>
      <c r="VR50" s="8"/>
      <c r="VS50" s="8"/>
      <c r="VT50" s="8"/>
      <c r="VU50" s="8"/>
      <c r="VV50" s="8"/>
      <c r="VW50" s="8"/>
      <c r="VX50" s="8"/>
      <c r="VY50" s="8"/>
      <c r="VZ50" s="8"/>
      <c r="WA50" s="8"/>
      <c r="WB50" s="8"/>
      <c r="WC50" s="8"/>
      <c r="WD50" s="8"/>
      <c r="WE50" s="8"/>
      <c r="WF50" s="8"/>
      <c r="WG50" s="8"/>
      <c r="WH50" s="8"/>
      <c r="WI50" s="8"/>
      <c r="WJ50" s="8"/>
      <c r="WK50" s="8"/>
      <c r="WL50" s="8"/>
      <c r="WM50" s="8"/>
      <c r="WN50" s="8"/>
      <c r="WO50" s="8"/>
      <c r="WP50" s="8"/>
      <c r="WQ50" s="8"/>
      <c r="WR50" s="8"/>
      <c r="WS50" s="8"/>
      <c r="WT50" s="8"/>
      <c r="WU50" s="8"/>
      <c r="WV50" s="8"/>
      <c r="WW50" s="8"/>
      <c r="WX50" s="8"/>
      <c r="WY50" s="8"/>
      <c r="WZ50" s="8"/>
      <c r="XA50" s="8"/>
      <c r="XB50" s="8"/>
      <c r="XC50" s="8"/>
      <c r="XD50" s="8"/>
      <c r="XE50" s="8"/>
      <c r="XF50" s="8"/>
      <c r="XG50" s="8"/>
      <c r="XH50" s="8"/>
      <c r="XI50" s="8"/>
      <c r="XJ50" s="8"/>
      <c r="XK50" s="8"/>
      <c r="XL50" s="8"/>
      <c r="XM50" s="8"/>
      <c r="XN50" s="8"/>
      <c r="XO50" s="8"/>
      <c r="XP50" s="8"/>
      <c r="XQ50" s="8"/>
      <c r="XR50" s="8"/>
      <c r="XS50" s="8"/>
      <c r="XT50" s="8"/>
      <c r="XU50" s="8"/>
      <c r="XV50" s="8"/>
      <c r="XW50" s="8"/>
      <c r="XX50" s="8"/>
      <c r="XY50" s="8"/>
      <c r="XZ50" s="8"/>
      <c r="YA50" s="8"/>
      <c r="YB50" s="8"/>
      <c r="YC50" s="8"/>
      <c r="YD50" s="8"/>
      <c r="YE50" s="8"/>
      <c r="YF50" s="8"/>
      <c r="YG50" s="8"/>
      <c r="YH50" s="8"/>
      <c r="YI50" s="8"/>
      <c r="YJ50" s="8"/>
      <c r="YK50" s="8"/>
      <c r="YL50" s="8"/>
      <c r="YM50" s="8"/>
      <c r="YN50" s="8"/>
      <c r="YO50" s="8"/>
      <c r="YP50" s="8"/>
      <c r="YQ50" s="8"/>
      <c r="YR50" s="8"/>
      <c r="YS50" s="8"/>
      <c r="YT50" s="8"/>
      <c r="YU50" s="8"/>
      <c r="YV50" s="8"/>
      <c r="YW50" s="8"/>
      <c r="YX50" s="8"/>
      <c r="YY50" s="8"/>
      <c r="YZ50" s="8"/>
      <c r="ZA50" s="8"/>
      <c r="ZB50" s="8"/>
      <c r="ZC50" s="8"/>
      <c r="ZD50" s="8"/>
      <c r="ZE50" s="8"/>
      <c r="ZF50" s="8"/>
      <c r="ZG50" s="8"/>
      <c r="ZH50" s="8"/>
      <c r="ZI50" s="8"/>
      <c r="ZJ50" s="8"/>
      <c r="ZK50" s="8"/>
      <c r="ZL50" s="8"/>
      <c r="ZM50" s="8"/>
      <c r="ZN50" s="8"/>
      <c r="ZO50" s="8"/>
      <c r="ZP50" s="8"/>
      <c r="ZQ50" s="8"/>
      <c r="ZR50" s="8"/>
      <c r="ZS50" s="8"/>
      <c r="ZT50" s="8"/>
      <c r="ZU50" s="8"/>
      <c r="ZV50" s="8"/>
      <c r="ZW50" s="8"/>
      <c r="ZX50" s="8"/>
      <c r="ZY50" s="8"/>
      <c r="ZZ50" s="8"/>
      <c r="AAA50" s="8"/>
      <c r="AAB50" s="8"/>
      <c r="AAC50" s="8"/>
      <c r="AAD50" s="8"/>
      <c r="AAE50" s="8"/>
      <c r="AAF50" s="8"/>
      <c r="AAG50" s="8"/>
      <c r="AAH50" s="8"/>
      <c r="AAI50" s="8"/>
      <c r="AAJ50" s="8"/>
      <c r="AAK50" s="8"/>
      <c r="AAL50" s="8"/>
      <c r="AAM50" s="8"/>
      <c r="AAN50" s="8"/>
      <c r="AAO50" s="8"/>
      <c r="AAP50" s="8"/>
      <c r="AAQ50" s="8"/>
      <c r="AAR50" s="8"/>
      <c r="AAS50" s="8"/>
      <c r="AAT50" s="8"/>
      <c r="AAU50" s="8"/>
      <c r="AAV50" s="8"/>
      <c r="AAW50" s="8"/>
      <c r="AAX50" s="8"/>
      <c r="AAY50" s="8"/>
      <c r="AAZ50" s="8"/>
      <c r="ABA50" s="8"/>
      <c r="ABB50" s="8"/>
      <c r="ABC50" s="8"/>
      <c r="ABD50" s="8"/>
    </row>
    <row r="51" spans="1:732" s="28" customFormat="1" ht="28.5" hidden="1" customHeight="1">
      <c r="A51" s="585" t="s">
        <v>273</v>
      </c>
      <c r="B51" s="585"/>
      <c r="C51" s="585"/>
      <c r="D51" s="585"/>
      <c r="E51" s="585"/>
      <c r="F51" s="594">
        <f>E33*4</f>
        <v>110000</v>
      </c>
      <c r="G51" s="594"/>
      <c r="H51" s="40"/>
      <c r="I51" s="52"/>
      <c r="J51" s="52"/>
      <c r="K51" s="52"/>
      <c r="L51" s="52"/>
      <c r="M51" s="52"/>
      <c r="N51" s="52"/>
      <c r="O51" s="52"/>
      <c r="IU51" s="8"/>
      <c r="IV51" s="8"/>
      <c r="IW51" s="8"/>
      <c r="IX51" s="8"/>
      <c r="IY51" s="8"/>
      <c r="IZ51" s="8"/>
      <c r="JA51" s="8"/>
      <c r="JB51" s="8"/>
      <c r="JC51" s="8"/>
      <c r="JD51" s="8"/>
      <c r="JE51" s="8"/>
      <c r="JF51" s="8"/>
      <c r="JG51" s="8"/>
      <c r="JH51" s="8"/>
      <c r="JI51" s="8"/>
      <c r="JJ51" s="8"/>
      <c r="JK51" s="8"/>
      <c r="JL51" s="8"/>
      <c r="JM51" s="8"/>
      <c r="JN51" s="8"/>
      <c r="JO51" s="8"/>
      <c r="JP51" s="8"/>
      <c r="JQ51" s="8"/>
      <c r="JR51" s="8"/>
      <c r="JS51" s="8"/>
      <c r="JT51" s="8"/>
      <c r="JU51" s="8"/>
      <c r="JV51" s="8"/>
      <c r="JW51" s="8"/>
      <c r="JX51" s="8"/>
      <c r="JY51" s="8"/>
      <c r="JZ51" s="8"/>
      <c r="KA51" s="8"/>
      <c r="KB51" s="8"/>
      <c r="KC51" s="8"/>
      <c r="KD51" s="8"/>
      <c r="KE51" s="8"/>
      <c r="KF51" s="8"/>
      <c r="KG51" s="8"/>
      <c r="KH51" s="8"/>
      <c r="KI51" s="8"/>
      <c r="KJ51" s="8"/>
      <c r="KK51" s="8"/>
      <c r="KL51" s="8"/>
      <c r="KM51" s="8"/>
      <c r="KN51" s="8"/>
      <c r="KO51" s="8"/>
      <c r="KP51" s="8"/>
      <c r="KQ51" s="8"/>
      <c r="KR51" s="8"/>
      <c r="KS51" s="8"/>
      <c r="KT51" s="8"/>
      <c r="KU51" s="8"/>
      <c r="KV51" s="8"/>
      <c r="KW51" s="8"/>
      <c r="KX51" s="8"/>
      <c r="KY51" s="8"/>
      <c r="KZ51" s="8"/>
      <c r="LA51" s="8"/>
      <c r="LB51" s="8"/>
      <c r="LC51" s="8"/>
      <c r="LD51" s="8"/>
      <c r="LE51" s="8"/>
      <c r="LF51" s="8"/>
      <c r="LG51" s="8"/>
      <c r="LH51" s="8"/>
      <c r="LI51" s="8"/>
      <c r="LJ51" s="8"/>
      <c r="LK51" s="8"/>
      <c r="LL51" s="8"/>
      <c r="LM51" s="8"/>
      <c r="LN51" s="8"/>
      <c r="LO51" s="8"/>
      <c r="LP51" s="8"/>
      <c r="LQ51" s="8"/>
      <c r="LR51" s="8"/>
      <c r="LS51" s="8"/>
      <c r="LT51" s="8"/>
      <c r="LU51" s="8"/>
      <c r="LV51" s="8"/>
      <c r="LW51" s="8"/>
      <c r="LX51" s="8"/>
      <c r="LY51" s="8"/>
      <c r="LZ51" s="8"/>
      <c r="MA51" s="8"/>
      <c r="MB51" s="8"/>
      <c r="MC51" s="8"/>
      <c r="MD51" s="8"/>
      <c r="ME51" s="8"/>
      <c r="MF51" s="8"/>
      <c r="MG51" s="8"/>
      <c r="MH51" s="8"/>
      <c r="MI51" s="8"/>
      <c r="MJ51" s="8"/>
      <c r="MK51" s="8"/>
      <c r="ML51" s="8"/>
      <c r="MM51" s="8"/>
      <c r="MN51" s="8"/>
      <c r="MO51" s="8"/>
      <c r="MP51" s="8"/>
      <c r="MQ51" s="8"/>
      <c r="MR51" s="8"/>
      <c r="MS51" s="8"/>
      <c r="MT51" s="8"/>
      <c r="MU51" s="8"/>
      <c r="MV51" s="8"/>
      <c r="MW51" s="8"/>
      <c r="MX51" s="8"/>
      <c r="MY51" s="8"/>
      <c r="MZ51" s="8"/>
      <c r="NA51" s="8"/>
      <c r="NB51" s="8"/>
      <c r="NC51" s="8"/>
      <c r="ND51" s="8"/>
      <c r="NE51" s="8"/>
      <c r="NF51" s="8"/>
      <c r="NG51" s="8"/>
      <c r="NH51" s="8"/>
      <c r="NI51" s="8"/>
      <c r="NJ51" s="8"/>
      <c r="NK51" s="8"/>
      <c r="NL51" s="8"/>
      <c r="NM51" s="8"/>
      <c r="NN51" s="8"/>
      <c r="NO51" s="8"/>
      <c r="NP51" s="8"/>
      <c r="NQ51" s="8"/>
      <c r="NR51" s="8"/>
      <c r="NS51" s="8"/>
      <c r="NT51" s="8"/>
      <c r="NU51" s="8"/>
      <c r="NV51" s="8"/>
      <c r="NW51" s="8"/>
      <c r="NX51" s="8"/>
      <c r="NY51" s="8"/>
      <c r="NZ51" s="8"/>
      <c r="OA51" s="8"/>
      <c r="OB51" s="8"/>
      <c r="OC51" s="8"/>
      <c r="OD51" s="8"/>
      <c r="OE51" s="8"/>
      <c r="OF51" s="8"/>
      <c r="OG51" s="8"/>
      <c r="OH51" s="8"/>
      <c r="OI51" s="8"/>
      <c r="OJ51" s="8"/>
      <c r="OK51" s="8"/>
      <c r="OL51" s="8"/>
      <c r="OM51" s="8"/>
      <c r="ON51" s="8"/>
      <c r="OO51" s="8"/>
      <c r="OP51" s="8"/>
      <c r="OQ51" s="8"/>
      <c r="OR51" s="8"/>
      <c r="OS51" s="8"/>
      <c r="OT51" s="8"/>
      <c r="OU51" s="8"/>
      <c r="OV51" s="8"/>
      <c r="OW51" s="8"/>
      <c r="OX51" s="8"/>
      <c r="OY51" s="8"/>
      <c r="OZ51" s="8"/>
      <c r="PA51" s="8"/>
      <c r="PB51" s="8"/>
      <c r="PC51" s="8"/>
      <c r="PD51" s="8"/>
      <c r="PE51" s="8"/>
      <c r="PF51" s="8"/>
      <c r="PG51" s="8"/>
      <c r="PH51" s="8"/>
      <c r="PI51" s="8"/>
      <c r="PJ51" s="8"/>
      <c r="PK51" s="8"/>
      <c r="PL51" s="8"/>
      <c r="PM51" s="8"/>
      <c r="PN51" s="8"/>
      <c r="PO51" s="8"/>
      <c r="PP51" s="8"/>
      <c r="PQ51" s="8"/>
      <c r="PR51" s="8"/>
      <c r="PS51" s="8"/>
      <c r="PT51" s="8"/>
      <c r="PU51" s="8"/>
      <c r="PV51" s="8"/>
      <c r="PW51" s="8"/>
      <c r="PX51" s="8"/>
      <c r="PY51" s="8"/>
      <c r="PZ51" s="8"/>
      <c r="QA51" s="8"/>
      <c r="QB51" s="8"/>
      <c r="QC51" s="8"/>
      <c r="QD51" s="8"/>
      <c r="QE51" s="8"/>
      <c r="QF51" s="8"/>
      <c r="QG51" s="8"/>
      <c r="QH51" s="8"/>
      <c r="QI51" s="8"/>
      <c r="QJ51" s="8"/>
      <c r="QK51" s="8"/>
      <c r="QL51" s="8"/>
      <c r="QM51" s="8"/>
      <c r="QN51" s="8"/>
      <c r="QO51" s="8"/>
      <c r="QP51" s="8"/>
      <c r="QQ51" s="8"/>
      <c r="QR51" s="8"/>
      <c r="QS51" s="8"/>
      <c r="QT51" s="8"/>
      <c r="QU51" s="8"/>
      <c r="QV51" s="8"/>
      <c r="QW51" s="8"/>
      <c r="QX51" s="8"/>
      <c r="QY51" s="8"/>
      <c r="QZ51" s="8"/>
      <c r="RA51" s="8"/>
      <c r="RB51" s="8"/>
      <c r="RC51" s="8"/>
      <c r="RD51" s="8"/>
      <c r="RE51" s="8"/>
      <c r="RF51" s="8"/>
      <c r="RG51" s="8"/>
      <c r="RH51" s="8"/>
      <c r="RI51" s="8"/>
      <c r="RJ51" s="8"/>
      <c r="RK51" s="8"/>
      <c r="RL51" s="8"/>
      <c r="RM51" s="8"/>
      <c r="RN51" s="8"/>
      <c r="RO51" s="8"/>
      <c r="RP51" s="8"/>
      <c r="RQ51" s="8"/>
      <c r="RR51" s="8"/>
      <c r="RS51" s="8"/>
      <c r="RT51" s="8"/>
      <c r="RU51" s="8"/>
      <c r="RV51" s="8"/>
      <c r="RW51" s="8"/>
      <c r="RX51" s="8"/>
      <c r="RY51" s="8"/>
      <c r="RZ51" s="8"/>
      <c r="SA51" s="8"/>
      <c r="SB51" s="8"/>
      <c r="SC51" s="8"/>
      <c r="SD51" s="8"/>
      <c r="SE51" s="8"/>
      <c r="SF51" s="8"/>
      <c r="SG51" s="8"/>
      <c r="SH51" s="8"/>
      <c r="SI51" s="8"/>
      <c r="SJ51" s="8"/>
      <c r="SK51" s="8"/>
      <c r="SL51" s="8"/>
      <c r="SM51" s="8"/>
      <c r="SN51" s="8"/>
      <c r="SO51" s="8"/>
      <c r="SP51" s="8"/>
      <c r="SQ51" s="8"/>
      <c r="SR51" s="8"/>
      <c r="SS51" s="8"/>
      <c r="ST51" s="8"/>
      <c r="SU51" s="8"/>
      <c r="SV51" s="8"/>
      <c r="SW51" s="8"/>
      <c r="SX51" s="8"/>
      <c r="SY51" s="8"/>
      <c r="SZ51" s="8"/>
      <c r="TA51" s="8"/>
      <c r="TB51" s="8"/>
      <c r="TC51" s="8"/>
      <c r="TD51" s="8"/>
      <c r="TE51" s="8"/>
      <c r="TF51" s="8"/>
      <c r="TG51" s="8"/>
      <c r="TH51" s="8"/>
      <c r="TI51" s="8"/>
      <c r="TJ51" s="8"/>
      <c r="TK51" s="8"/>
      <c r="TL51" s="8"/>
      <c r="TM51" s="8"/>
      <c r="TN51" s="8"/>
      <c r="TO51" s="8"/>
      <c r="TP51" s="8"/>
      <c r="TQ51" s="8"/>
      <c r="TR51" s="8"/>
      <c r="TS51" s="8"/>
      <c r="TT51" s="8"/>
      <c r="TU51" s="8"/>
      <c r="TV51" s="8"/>
      <c r="TW51" s="8"/>
      <c r="TX51" s="8"/>
      <c r="TY51" s="8"/>
      <c r="TZ51" s="8"/>
      <c r="UA51" s="8"/>
      <c r="UB51" s="8"/>
      <c r="UC51" s="8"/>
      <c r="UD51" s="8"/>
      <c r="UE51" s="8"/>
      <c r="UF51" s="8"/>
      <c r="UG51" s="8"/>
      <c r="UH51" s="8"/>
      <c r="UI51" s="8"/>
      <c r="UJ51" s="8"/>
      <c r="UK51" s="8"/>
      <c r="UL51" s="8"/>
      <c r="UM51" s="8"/>
      <c r="UN51" s="8"/>
      <c r="UO51" s="8"/>
      <c r="UP51" s="8"/>
      <c r="UQ51" s="8"/>
      <c r="UR51" s="8"/>
      <c r="US51" s="8"/>
      <c r="UT51" s="8"/>
      <c r="UU51" s="8"/>
      <c r="UV51" s="8"/>
      <c r="UW51" s="8"/>
      <c r="UX51" s="8"/>
      <c r="UY51" s="8"/>
      <c r="UZ51" s="8"/>
      <c r="VA51" s="8"/>
      <c r="VB51" s="8"/>
      <c r="VC51" s="8"/>
      <c r="VD51" s="8"/>
      <c r="VE51" s="8"/>
      <c r="VF51" s="8"/>
      <c r="VG51" s="8"/>
      <c r="VH51" s="8"/>
      <c r="VI51" s="8"/>
      <c r="VJ51" s="8"/>
      <c r="VK51" s="8"/>
      <c r="VL51" s="8"/>
      <c r="VM51" s="8"/>
      <c r="VN51" s="8"/>
      <c r="VO51" s="8"/>
      <c r="VP51" s="8"/>
      <c r="VQ51" s="8"/>
      <c r="VR51" s="8"/>
      <c r="VS51" s="8"/>
      <c r="VT51" s="8"/>
      <c r="VU51" s="8"/>
      <c r="VV51" s="8"/>
      <c r="VW51" s="8"/>
      <c r="VX51" s="8"/>
      <c r="VY51" s="8"/>
      <c r="VZ51" s="8"/>
      <c r="WA51" s="8"/>
      <c r="WB51" s="8"/>
      <c r="WC51" s="8"/>
      <c r="WD51" s="8"/>
      <c r="WE51" s="8"/>
      <c r="WF51" s="8"/>
      <c r="WG51" s="8"/>
      <c r="WH51" s="8"/>
      <c r="WI51" s="8"/>
      <c r="WJ51" s="8"/>
      <c r="WK51" s="8"/>
      <c r="WL51" s="8"/>
      <c r="WM51" s="8"/>
      <c r="WN51" s="8"/>
      <c r="WO51" s="8"/>
      <c r="WP51" s="8"/>
      <c r="WQ51" s="8"/>
      <c r="WR51" s="8"/>
      <c r="WS51" s="8"/>
      <c r="WT51" s="8"/>
      <c r="WU51" s="8"/>
      <c r="WV51" s="8"/>
      <c r="WW51" s="8"/>
      <c r="WX51" s="8"/>
      <c r="WY51" s="8"/>
      <c r="WZ51" s="8"/>
      <c r="XA51" s="8"/>
      <c r="XB51" s="8"/>
      <c r="XC51" s="8"/>
      <c r="XD51" s="8"/>
      <c r="XE51" s="8"/>
      <c r="XF51" s="8"/>
      <c r="XG51" s="8"/>
      <c r="XH51" s="8"/>
      <c r="XI51" s="8"/>
      <c r="XJ51" s="8"/>
      <c r="XK51" s="8"/>
      <c r="XL51" s="8"/>
      <c r="XM51" s="8"/>
      <c r="XN51" s="8"/>
      <c r="XO51" s="8"/>
      <c r="XP51" s="8"/>
      <c r="XQ51" s="8"/>
      <c r="XR51" s="8"/>
      <c r="XS51" s="8"/>
      <c r="XT51" s="8"/>
      <c r="XU51" s="8"/>
      <c r="XV51" s="8"/>
      <c r="XW51" s="8"/>
      <c r="XX51" s="8"/>
      <c r="XY51" s="8"/>
      <c r="XZ51" s="8"/>
      <c r="YA51" s="8"/>
      <c r="YB51" s="8"/>
      <c r="YC51" s="8"/>
      <c r="YD51" s="8"/>
      <c r="YE51" s="8"/>
      <c r="YF51" s="8"/>
      <c r="YG51" s="8"/>
      <c r="YH51" s="8"/>
      <c r="YI51" s="8"/>
      <c r="YJ51" s="8"/>
      <c r="YK51" s="8"/>
      <c r="YL51" s="8"/>
      <c r="YM51" s="8"/>
      <c r="YN51" s="8"/>
      <c r="YO51" s="8"/>
      <c r="YP51" s="8"/>
      <c r="YQ51" s="8"/>
      <c r="YR51" s="8"/>
      <c r="YS51" s="8"/>
      <c r="YT51" s="8"/>
      <c r="YU51" s="8"/>
      <c r="YV51" s="8"/>
      <c r="YW51" s="8"/>
      <c r="YX51" s="8"/>
      <c r="YY51" s="8"/>
      <c r="YZ51" s="8"/>
      <c r="ZA51" s="8"/>
      <c r="ZB51" s="8"/>
      <c r="ZC51" s="8"/>
      <c r="ZD51" s="8"/>
      <c r="ZE51" s="8"/>
      <c r="ZF51" s="8"/>
      <c r="ZG51" s="8"/>
      <c r="ZH51" s="8"/>
      <c r="ZI51" s="8"/>
      <c r="ZJ51" s="8"/>
      <c r="ZK51" s="8"/>
      <c r="ZL51" s="8"/>
      <c r="ZM51" s="8"/>
      <c r="ZN51" s="8"/>
      <c r="ZO51" s="8"/>
      <c r="ZP51" s="8"/>
      <c r="ZQ51" s="8"/>
      <c r="ZR51" s="8"/>
      <c r="ZS51" s="8"/>
      <c r="ZT51" s="8"/>
      <c r="ZU51" s="8"/>
      <c r="ZV51" s="8"/>
      <c r="ZW51" s="8"/>
      <c r="ZX51" s="8"/>
      <c r="ZY51" s="8"/>
      <c r="ZZ51" s="8"/>
      <c r="AAA51" s="8"/>
      <c r="AAB51" s="8"/>
      <c r="AAC51" s="8"/>
      <c r="AAD51" s="8"/>
      <c r="AAE51" s="8"/>
      <c r="AAF51" s="8"/>
      <c r="AAG51" s="8"/>
      <c r="AAH51" s="8"/>
      <c r="AAI51" s="8"/>
      <c r="AAJ51" s="8"/>
      <c r="AAK51" s="8"/>
      <c r="AAL51" s="8"/>
      <c r="AAM51" s="8"/>
      <c r="AAN51" s="8"/>
      <c r="AAO51" s="8"/>
      <c r="AAP51" s="8"/>
      <c r="AAQ51" s="8"/>
      <c r="AAR51" s="8"/>
      <c r="AAS51" s="8"/>
      <c r="AAT51" s="8"/>
      <c r="AAU51" s="8"/>
      <c r="AAV51" s="8"/>
      <c r="AAW51" s="8"/>
      <c r="AAX51" s="8"/>
      <c r="AAY51" s="8"/>
      <c r="AAZ51" s="8"/>
      <c r="ABA51" s="8"/>
      <c r="ABB51" s="8"/>
      <c r="ABC51" s="8"/>
      <c r="ABD51" s="8"/>
    </row>
    <row r="52" spans="1:732" s="28" customFormat="1" ht="28.5" hidden="1" customHeight="1">
      <c r="A52" s="593" t="s">
        <v>277</v>
      </c>
      <c r="B52" s="593"/>
      <c r="C52" s="593"/>
      <c r="D52" s="593"/>
      <c r="E52" s="593"/>
      <c r="F52" s="595" t="e">
        <f>$E$7+$F$50+$F$51</f>
        <v>#REF!</v>
      </c>
      <c r="G52" s="595"/>
      <c r="H52" s="40"/>
      <c r="I52" s="52"/>
      <c r="J52" s="52"/>
      <c r="K52" s="52"/>
      <c r="L52" s="52"/>
      <c r="M52" s="52"/>
      <c r="N52" s="52"/>
      <c r="O52" s="52"/>
      <c r="IU52" s="8"/>
      <c r="IV52" s="8"/>
      <c r="IW52" s="8"/>
      <c r="IX52" s="8"/>
      <c r="IY52" s="8"/>
      <c r="IZ52" s="8"/>
      <c r="JA52" s="8"/>
      <c r="JB52" s="8"/>
      <c r="JC52" s="8"/>
      <c r="JD52" s="8"/>
      <c r="JE52" s="8"/>
      <c r="JF52" s="8"/>
      <c r="JG52" s="8"/>
      <c r="JH52" s="8"/>
      <c r="JI52" s="8"/>
      <c r="JJ52" s="8"/>
      <c r="JK52" s="8"/>
      <c r="JL52" s="8"/>
      <c r="JM52" s="8"/>
      <c r="JN52" s="8"/>
      <c r="JO52" s="8"/>
      <c r="JP52" s="8"/>
      <c r="JQ52" s="8"/>
      <c r="JR52" s="8"/>
      <c r="JS52" s="8"/>
      <c r="JT52" s="8"/>
      <c r="JU52" s="8"/>
      <c r="JV52" s="8"/>
      <c r="JW52" s="8"/>
      <c r="JX52" s="8"/>
      <c r="JY52" s="8"/>
      <c r="JZ52" s="8"/>
      <c r="KA52" s="8"/>
      <c r="KB52" s="8"/>
      <c r="KC52" s="8"/>
      <c r="KD52" s="8"/>
      <c r="KE52" s="8"/>
      <c r="KF52" s="8"/>
      <c r="KG52" s="8"/>
      <c r="KH52" s="8"/>
      <c r="KI52" s="8"/>
      <c r="KJ52" s="8"/>
      <c r="KK52" s="8"/>
      <c r="KL52" s="8"/>
      <c r="KM52" s="8"/>
      <c r="KN52" s="8"/>
      <c r="KO52" s="8"/>
      <c r="KP52" s="8"/>
      <c r="KQ52" s="8"/>
      <c r="KR52" s="8"/>
      <c r="KS52" s="8"/>
      <c r="KT52" s="8"/>
      <c r="KU52" s="8"/>
      <c r="KV52" s="8"/>
      <c r="KW52" s="8"/>
      <c r="KX52" s="8"/>
      <c r="KY52" s="8"/>
      <c r="KZ52" s="8"/>
      <c r="LA52" s="8"/>
      <c r="LB52" s="8"/>
      <c r="LC52" s="8"/>
      <c r="LD52" s="8"/>
      <c r="LE52" s="8"/>
      <c r="LF52" s="8"/>
      <c r="LG52" s="8"/>
      <c r="LH52" s="8"/>
      <c r="LI52" s="8"/>
      <c r="LJ52" s="8"/>
      <c r="LK52" s="8"/>
      <c r="LL52" s="8"/>
      <c r="LM52" s="8"/>
      <c r="LN52" s="8"/>
      <c r="LO52" s="8"/>
      <c r="LP52" s="8"/>
      <c r="LQ52" s="8"/>
      <c r="LR52" s="8"/>
      <c r="LS52" s="8"/>
      <c r="LT52" s="8"/>
      <c r="LU52" s="8"/>
      <c r="LV52" s="8"/>
      <c r="LW52" s="8"/>
      <c r="LX52" s="8"/>
      <c r="LY52" s="8"/>
      <c r="LZ52" s="8"/>
      <c r="MA52" s="8"/>
      <c r="MB52" s="8"/>
      <c r="MC52" s="8"/>
      <c r="MD52" s="8"/>
      <c r="ME52" s="8"/>
      <c r="MF52" s="8"/>
      <c r="MG52" s="8"/>
      <c r="MH52" s="8"/>
      <c r="MI52" s="8"/>
      <c r="MJ52" s="8"/>
      <c r="MK52" s="8"/>
      <c r="ML52" s="8"/>
      <c r="MM52" s="8"/>
      <c r="MN52" s="8"/>
      <c r="MO52" s="8"/>
      <c r="MP52" s="8"/>
      <c r="MQ52" s="8"/>
      <c r="MR52" s="8"/>
      <c r="MS52" s="8"/>
      <c r="MT52" s="8"/>
      <c r="MU52" s="8"/>
      <c r="MV52" s="8"/>
      <c r="MW52" s="8"/>
      <c r="MX52" s="8"/>
      <c r="MY52" s="8"/>
      <c r="MZ52" s="8"/>
      <c r="NA52" s="8"/>
      <c r="NB52" s="8"/>
      <c r="NC52" s="8"/>
      <c r="ND52" s="8"/>
      <c r="NE52" s="8"/>
      <c r="NF52" s="8"/>
      <c r="NG52" s="8"/>
      <c r="NH52" s="8"/>
      <c r="NI52" s="8"/>
      <c r="NJ52" s="8"/>
      <c r="NK52" s="8"/>
      <c r="NL52" s="8"/>
      <c r="NM52" s="8"/>
      <c r="NN52" s="8"/>
      <c r="NO52" s="8"/>
      <c r="NP52" s="8"/>
      <c r="NQ52" s="8"/>
      <c r="NR52" s="8"/>
      <c r="NS52" s="8"/>
      <c r="NT52" s="8"/>
      <c r="NU52" s="8"/>
      <c r="NV52" s="8"/>
      <c r="NW52" s="8"/>
      <c r="NX52" s="8"/>
      <c r="NY52" s="8"/>
      <c r="NZ52" s="8"/>
      <c r="OA52" s="8"/>
      <c r="OB52" s="8"/>
      <c r="OC52" s="8"/>
      <c r="OD52" s="8"/>
      <c r="OE52" s="8"/>
      <c r="OF52" s="8"/>
      <c r="OG52" s="8"/>
      <c r="OH52" s="8"/>
      <c r="OI52" s="8"/>
      <c r="OJ52" s="8"/>
      <c r="OK52" s="8"/>
      <c r="OL52" s="8"/>
      <c r="OM52" s="8"/>
      <c r="ON52" s="8"/>
      <c r="OO52" s="8"/>
      <c r="OP52" s="8"/>
      <c r="OQ52" s="8"/>
      <c r="OR52" s="8"/>
      <c r="OS52" s="8"/>
      <c r="OT52" s="8"/>
      <c r="OU52" s="8"/>
      <c r="OV52" s="8"/>
      <c r="OW52" s="8"/>
      <c r="OX52" s="8"/>
      <c r="OY52" s="8"/>
      <c r="OZ52" s="8"/>
      <c r="PA52" s="8"/>
      <c r="PB52" s="8"/>
      <c r="PC52" s="8"/>
      <c r="PD52" s="8"/>
      <c r="PE52" s="8"/>
      <c r="PF52" s="8"/>
      <c r="PG52" s="8"/>
      <c r="PH52" s="8"/>
      <c r="PI52" s="8"/>
      <c r="PJ52" s="8"/>
      <c r="PK52" s="8"/>
      <c r="PL52" s="8"/>
      <c r="PM52" s="8"/>
      <c r="PN52" s="8"/>
      <c r="PO52" s="8"/>
      <c r="PP52" s="8"/>
      <c r="PQ52" s="8"/>
      <c r="PR52" s="8"/>
      <c r="PS52" s="8"/>
      <c r="PT52" s="8"/>
      <c r="PU52" s="8"/>
      <c r="PV52" s="8"/>
      <c r="PW52" s="8"/>
      <c r="PX52" s="8"/>
      <c r="PY52" s="8"/>
      <c r="PZ52" s="8"/>
      <c r="QA52" s="8"/>
      <c r="QB52" s="8"/>
      <c r="QC52" s="8"/>
      <c r="QD52" s="8"/>
      <c r="QE52" s="8"/>
      <c r="QF52" s="8"/>
      <c r="QG52" s="8"/>
      <c r="QH52" s="8"/>
      <c r="QI52" s="8"/>
      <c r="QJ52" s="8"/>
      <c r="QK52" s="8"/>
      <c r="QL52" s="8"/>
      <c r="QM52" s="8"/>
      <c r="QN52" s="8"/>
      <c r="QO52" s="8"/>
      <c r="QP52" s="8"/>
      <c r="QQ52" s="8"/>
      <c r="QR52" s="8"/>
      <c r="QS52" s="8"/>
      <c r="QT52" s="8"/>
      <c r="QU52" s="8"/>
      <c r="QV52" s="8"/>
      <c r="QW52" s="8"/>
      <c r="QX52" s="8"/>
      <c r="QY52" s="8"/>
      <c r="QZ52" s="8"/>
      <c r="RA52" s="8"/>
      <c r="RB52" s="8"/>
      <c r="RC52" s="8"/>
      <c r="RD52" s="8"/>
      <c r="RE52" s="8"/>
      <c r="RF52" s="8"/>
      <c r="RG52" s="8"/>
      <c r="RH52" s="8"/>
      <c r="RI52" s="8"/>
      <c r="RJ52" s="8"/>
      <c r="RK52" s="8"/>
      <c r="RL52" s="8"/>
      <c r="RM52" s="8"/>
      <c r="RN52" s="8"/>
      <c r="RO52" s="8"/>
      <c r="RP52" s="8"/>
      <c r="RQ52" s="8"/>
      <c r="RR52" s="8"/>
      <c r="RS52" s="8"/>
      <c r="RT52" s="8"/>
      <c r="RU52" s="8"/>
      <c r="RV52" s="8"/>
      <c r="RW52" s="8"/>
      <c r="RX52" s="8"/>
      <c r="RY52" s="8"/>
      <c r="RZ52" s="8"/>
      <c r="SA52" s="8"/>
      <c r="SB52" s="8"/>
      <c r="SC52" s="8"/>
      <c r="SD52" s="8"/>
      <c r="SE52" s="8"/>
      <c r="SF52" s="8"/>
      <c r="SG52" s="8"/>
      <c r="SH52" s="8"/>
      <c r="SI52" s="8"/>
      <c r="SJ52" s="8"/>
      <c r="SK52" s="8"/>
      <c r="SL52" s="8"/>
      <c r="SM52" s="8"/>
      <c r="SN52" s="8"/>
      <c r="SO52" s="8"/>
      <c r="SP52" s="8"/>
      <c r="SQ52" s="8"/>
      <c r="SR52" s="8"/>
      <c r="SS52" s="8"/>
      <c r="ST52" s="8"/>
      <c r="SU52" s="8"/>
      <c r="SV52" s="8"/>
      <c r="SW52" s="8"/>
      <c r="SX52" s="8"/>
      <c r="SY52" s="8"/>
      <c r="SZ52" s="8"/>
      <c r="TA52" s="8"/>
      <c r="TB52" s="8"/>
      <c r="TC52" s="8"/>
      <c r="TD52" s="8"/>
      <c r="TE52" s="8"/>
      <c r="TF52" s="8"/>
      <c r="TG52" s="8"/>
      <c r="TH52" s="8"/>
      <c r="TI52" s="8"/>
      <c r="TJ52" s="8"/>
      <c r="TK52" s="8"/>
      <c r="TL52" s="8"/>
      <c r="TM52" s="8"/>
      <c r="TN52" s="8"/>
      <c r="TO52" s="8"/>
      <c r="TP52" s="8"/>
      <c r="TQ52" s="8"/>
      <c r="TR52" s="8"/>
      <c r="TS52" s="8"/>
      <c r="TT52" s="8"/>
      <c r="TU52" s="8"/>
      <c r="TV52" s="8"/>
      <c r="TW52" s="8"/>
      <c r="TX52" s="8"/>
      <c r="TY52" s="8"/>
      <c r="TZ52" s="8"/>
      <c r="UA52" s="8"/>
      <c r="UB52" s="8"/>
      <c r="UC52" s="8"/>
      <c r="UD52" s="8"/>
      <c r="UE52" s="8"/>
      <c r="UF52" s="8"/>
      <c r="UG52" s="8"/>
      <c r="UH52" s="8"/>
      <c r="UI52" s="8"/>
      <c r="UJ52" s="8"/>
      <c r="UK52" s="8"/>
      <c r="UL52" s="8"/>
      <c r="UM52" s="8"/>
      <c r="UN52" s="8"/>
      <c r="UO52" s="8"/>
      <c r="UP52" s="8"/>
      <c r="UQ52" s="8"/>
      <c r="UR52" s="8"/>
      <c r="US52" s="8"/>
      <c r="UT52" s="8"/>
      <c r="UU52" s="8"/>
      <c r="UV52" s="8"/>
      <c r="UW52" s="8"/>
      <c r="UX52" s="8"/>
      <c r="UY52" s="8"/>
      <c r="UZ52" s="8"/>
      <c r="VA52" s="8"/>
      <c r="VB52" s="8"/>
      <c r="VC52" s="8"/>
      <c r="VD52" s="8"/>
      <c r="VE52" s="8"/>
      <c r="VF52" s="8"/>
      <c r="VG52" s="8"/>
      <c r="VH52" s="8"/>
      <c r="VI52" s="8"/>
      <c r="VJ52" s="8"/>
      <c r="VK52" s="8"/>
      <c r="VL52" s="8"/>
      <c r="VM52" s="8"/>
      <c r="VN52" s="8"/>
      <c r="VO52" s="8"/>
      <c r="VP52" s="8"/>
      <c r="VQ52" s="8"/>
      <c r="VR52" s="8"/>
      <c r="VS52" s="8"/>
      <c r="VT52" s="8"/>
      <c r="VU52" s="8"/>
      <c r="VV52" s="8"/>
      <c r="VW52" s="8"/>
      <c r="VX52" s="8"/>
      <c r="VY52" s="8"/>
      <c r="VZ52" s="8"/>
      <c r="WA52" s="8"/>
      <c r="WB52" s="8"/>
      <c r="WC52" s="8"/>
      <c r="WD52" s="8"/>
      <c r="WE52" s="8"/>
      <c r="WF52" s="8"/>
      <c r="WG52" s="8"/>
      <c r="WH52" s="8"/>
      <c r="WI52" s="8"/>
      <c r="WJ52" s="8"/>
      <c r="WK52" s="8"/>
      <c r="WL52" s="8"/>
      <c r="WM52" s="8"/>
      <c r="WN52" s="8"/>
      <c r="WO52" s="8"/>
      <c r="WP52" s="8"/>
      <c r="WQ52" s="8"/>
      <c r="WR52" s="8"/>
      <c r="WS52" s="8"/>
      <c r="WT52" s="8"/>
      <c r="WU52" s="8"/>
      <c r="WV52" s="8"/>
      <c r="WW52" s="8"/>
      <c r="WX52" s="8"/>
      <c r="WY52" s="8"/>
      <c r="WZ52" s="8"/>
      <c r="XA52" s="8"/>
      <c r="XB52" s="8"/>
      <c r="XC52" s="8"/>
      <c r="XD52" s="8"/>
      <c r="XE52" s="8"/>
      <c r="XF52" s="8"/>
      <c r="XG52" s="8"/>
      <c r="XH52" s="8"/>
      <c r="XI52" s="8"/>
      <c r="XJ52" s="8"/>
      <c r="XK52" s="8"/>
      <c r="XL52" s="8"/>
      <c r="XM52" s="8"/>
      <c r="XN52" s="8"/>
      <c r="XO52" s="8"/>
      <c r="XP52" s="8"/>
      <c r="XQ52" s="8"/>
      <c r="XR52" s="8"/>
      <c r="XS52" s="8"/>
      <c r="XT52" s="8"/>
      <c r="XU52" s="8"/>
      <c r="XV52" s="8"/>
      <c r="XW52" s="8"/>
      <c r="XX52" s="8"/>
      <c r="XY52" s="8"/>
      <c r="XZ52" s="8"/>
      <c r="YA52" s="8"/>
      <c r="YB52" s="8"/>
      <c r="YC52" s="8"/>
      <c r="YD52" s="8"/>
      <c r="YE52" s="8"/>
      <c r="YF52" s="8"/>
      <c r="YG52" s="8"/>
      <c r="YH52" s="8"/>
      <c r="YI52" s="8"/>
      <c r="YJ52" s="8"/>
      <c r="YK52" s="8"/>
      <c r="YL52" s="8"/>
      <c r="YM52" s="8"/>
      <c r="YN52" s="8"/>
      <c r="YO52" s="8"/>
      <c r="YP52" s="8"/>
      <c r="YQ52" s="8"/>
      <c r="YR52" s="8"/>
      <c r="YS52" s="8"/>
      <c r="YT52" s="8"/>
      <c r="YU52" s="8"/>
      <c r="YV52" s="8"/>
      <c r="YW52" s="8"/>
      <c r="YX52" s="8"/>
      <c r="YY52" s="8"/>
      <c r="YZ52" s="8"/>
      <c r="ZA52" s="8"/>
      <c r="ZB52" s="8"/>
      <c r="ZC52" s="8"/>
      <c r="ZD52" s="8"/>
      <c r="ZE52" s="8"/>
      <c r="ZF52" s="8"/>
      <c r="ZG52" s="8"/>
      <c r="ZH52" s="8"/>
      <c r="ZI52" s="8"/>
      <c r="ZJ52" s="8"/>
      <c r="ZK52" s="8"/>
      <c r="ZL52" s="8"/>
      <c r="ZM52" s="8"/>
      <c r="ZN52" s="8"/>
      <c r="ZO52" s="8"/>
      <c r="ZP52" s="8"/>
      <c r="ZQ52" s="8"/>
      <c r="ZR52" s="8"/>
      <c r="ZS52" s="8"/>
      <c r="ZT52" s="8"/>
      <c r="ZU52" s="8"/>
      <c r="ZV52" s="8"/>
      <c r="ZW52" s="8"/>
      <c r="ZX52" s="8"/>
      <c r="ZY52" s="8"/>
      <c r="ZZ52" s="8"/>
      <c r="AAA52" s="8"/>
      <c r="AAB52" s="8"/>
      <c r="AAC52" s="8"/>
      <c r="AAD52" s="8"/>
      <c r="AAE52" s="8"/>
      <c r="AAF52" s="8"/>
      <c r="AAG52" s="8"/>
      <c r="AAH52" s="8"/>
      <c r="AAI52" s="8"/>
      <c r="AAJ52" s="8"/>
      <c r="AAK52" s="8"/>
      <c r="AAL52" s="8"/>
      <c r="AAM52" s="8"/>
      <c r="AAN52" s="8"/>
      <c r="AAO52" s="8"/>
      <c r="AAP52" s="8"/>
      <c r="AAQ52" s="8"/>
      <c r="AAR52" s="8"/>
      <c r="AAS52" s="8"/>
      <c r="AAT52" s="8"/>
      <c r="AAU52" s="8"/>
      <c r="AAV52" s="8"/>
      <c r="AAW52" s="8"/>
      <c r="AAX52" s="8"/>
      <c r="AAY52" s="8"/>
      <c r="AAZ52" s="8"/>
      <c r="ABA52" s="8"/>
      <c r="ABB52" s="8"/>
      <c r="ABC52" s="8"/>
      <c r="ABD52" s="8"/>
    </row>
    <row r="53" spans="1:732" s="9" customFormat="1" hidden="1">
      <c r="IU53" s="8"/>
      <c r="IV53" s="8"/>
      <c r="IW53" s="8"/>
      <c r="IX53" s="8"/>
      <c r="IY53" s="8"/>
      <c r="IZ53" s="8"/>
      <c r="JA53" s="8"/>
      <c r="JB53" s="8"/>
      <c r="JC53" s="8"/>
      <c r="JD53" s="8"/>
      <c r="JE53" s="8"/>
      <c r="JF53" s="8"/>
      <c r="JG53" s="8"/>
      <c r="JH53" s="8"/>
      <c r="JI53" s="8"/>
      <c r="JJ53" s="8"/>
      <c r="JK53" s="8"/>
      <c r="JL53" s="8"/>
      <c r="JM53" s="8"/>
      <c r="JN53" s="8"/>
      <c r="JO53" s="8"/>
      <c r="JP53" s="8"/>
      <c r="JQ53" s="8"/>
      <c r="JR53" s="8"/>
      <c r="JS53" s="8"/>
      <c r="JT53" s="8"/>
      <c r="JU53" s="8"/>
      <c r="JV53" s="8"/>
      <c r="JW53" s="8"/>
      <c r="JX53" s="8"/>
      <c r="JY53" s="8"/>
      <c r="JZ53" s="8"/>
      <c r="KA53" s="8"/>
      <c r="KB53" s="8"/>
      <c r="KC53" s="8"/>
      <c r="KD53" s="8"/>
      <c r="KE53" s="8"/>
      <c r="KF53" s="8"/>
      <c r="KG53" s="8"/>
      <c r="KH53" s="8"/>
      <c r="KI53" s="8"/>
      <c r="KJ53" s="8"/>
      <c r="KK53" s="8"/>
      <c r="KL53" s="8"/>
      <c r="KM53" s="8"/>
      <c r="KN53" s="8"/>
      <c r="KO53" s="8"/>
      <c r="KP53" s="8"/>
      <c r="KQ53" s="8"/>
      <c r="KR53" s="8"/>
      <c r="KS53" s="8"/>
      <c r="KT53" s="8"/>
      <c r="KU53" s="8"/>
      <c r="KV53" s="8"/>
      <c r="KW53" s="8"/>
      <c r="KX53" s="8"/>
      <c r="KY53" s="8"/>
      <c r="KZ53" s="8"/>
      <c r="LA53" s="8"/>
      <c r="LB53" s="8"/>
      <c r="LC53" s="8"/>
      <c r="LD53" s="8"/>
      <c r="LE53" s="8"/>
      <c r="LF53" s="8"/>
      <c r="LG53" s="8"/>
      <c r="LH53" s="8"/>
      <c r="LI53" s="8"/>
      <c r="LJ53" s="8"/>
      <c r="LK53" s="8"/>
      <c r="LL53" s="8"/>
      <c r="LM53" s="8"/>
      <c r="LN53" s="8"/>
      <c r="LO53" s="8"/>
      <c r="LP53" s="8"/>
      <c r="LQ53" s="8"/>
      <c r="LR53" s="8"/>
      <c r="LS53" s="8"/>
      <c r="LT53" s="8"/>
      <c r="LU53" s="8"/>
      <c r="LV53" s="8"/>
      <c r="LW53" s="8"/>
      <c r="LX53" s="8"/>
      <c r="LY53" s="8"/>
      <c r="LZ53" s="8"/>
      <c r="MA53" s="8"/>
      <c r="MB53" s="8"/>
      <c r="MC53" s="8"/>
      <c r="MD53" s="8"/>
      <c r="ME53" s="8"/>
      <c r="MF53" s="8"/>
      <c r="MG53" s="8"/>
      <c r="MH53" s="8"/>
      <c r="MI53" s="8"/>
      <c r="MJ53" s="8"/>
      <c r="MK53" s="8"/>
      <c r="ML53" s="8"/>
      <c r="MM53" s="8"/>
      <c r="MN53" s="8"/>
      <c r="MO53" s="8"/>
      <c r="MP53" s="8"/>
      <c r="MQ53" s="8"/>
      <c r="MR53" s="8"/>
      <c r="MS53" s="8"/>
      <c r="MT53" s="8"/>
      <c r="MU53" s="8"/>
      <c r="MV53" s="8"/>
      <c r="MW53" s="8"/>
      <c r="MX53" s="8"/>
      <c r="MY53" s="8"/>
      <c r="MZ53" s="8"/>
      <c r="NA53" s="8"/>
      <c r="NB53" s="8"/>
      <c r="NC53" s="8"/>
      <c r="ND53" s="8"/>
      <c r="NE53" s="8"/>
      <c r="NF53" s="8"/>
      <c r="NG53" s="8"/>
      <c r="NH53" s="8"/>
      <c r="NI53" s="8"/>
      <c r="NJ53" s="8"/>
      <c r="NK53" s="8"/>
      <c r="NL53" s="8"/>
      <c r="NM53" s="8"/>
      <c r="NN53" s="8"/>
      <c r="NO53" s="8"/>
      <c r="NP53" s="8"/>
      <c r="NQ53" s="8"/>
      <c r="NR53" s="8"/>
      <c r="NS53" s="8"/>
      <c r="NT53" s="8"/>
      <c r="NU53" s="8"/>
      <c r="NV53" s="8"/>
      <c r="NW53" s="8"/>
      <c r="NX53" s="8"/>
      <c r="NY53" s="8"/>
      <c r="NZ53" s="8"/>
      <c r="OA53" s="8"/>
      <c r="OB53" s="8"/>
      <c r="OC53" s="8"/>
      <c r="OD53" s="8"/>
      <c r="OE53" s="8"/>
      <c r="OF53" s="8"/>
      <c r="OG53" s="8"/>
      <c r="OH53" s="8"/>
      <c r="OI53" s="8"/>
      <c r="OJ53" s="8"/>
      <c r="OK53" s="8"/>
      <c r="OL53" s="8"/>
      <c r="OM53" s="8"/>
      <c r="ON53" s="8"/>
      <c r="OO53" s="8"/>
      <c r="OP53" s="8"/>
      <c r="OQ53" s="8"/>
      <c r="OR53" s="8"/>
      <c r="OS53" s="8"/>
      <c r="OT53" s="8"/>
      <c r="OU53" s="8"/>
      <c r="OV53" s="8"/>
      <c r="OW53" s="8"/>
      <c r="OX53" s="8"/>
      <c r="OY53" s="8"/>
      <c r="OZ53" s="8"/>
      <c r="PA53" s="8"/>
      <c r="PB53" s="8"/>
      <c r="PC53" s="8"/>
      <c r="PD53" s="8"/>
      <c r="PE53" s="8"/>
      <c r="PF53" s="8"/>
      <c r="PG53" s="8"/>
      <c r="PH53" s="8"/>
      <c r="PI53" s="8"/>
      <c r="PJ53" s="8"/>
      <c r="PK53" s="8"/>
      <c r="PL53" s="8"/>
      <c r="PM53" s="8"/>
      <c r="PN53" s="8"/>
      <c r="PO53" s="8"/>
      <c r="PP53" s="8"/>
      <c r="PQ53" s="8"/>
      <c r="PR53" s="8"/>
      <c r="PS53" s="8"/>
      <c r="PT53" s="8"/>
      <c r="PU53" s="8"/>
      <c r="PV53" s="8"/>
      <c r="PW53" s="8"/>
      <c r="PX53" s="8"/>
      <c r="PY53" s="8"/>
      <c r="PZ53" s="8"/>
      <c r="QA53" s="8"/>
      <c r="QB53" s="8"/>
      <c r="QC53" s="8"/>
      <c r="QD53" s="8"/>
      <c r="QE53" s="8"/>
      <c r="QF53" s="8"/>
      <c r="QG53" s="8"/>
      <c r="QH53" s="8"/>
      <c r="QI53" s="8"/>
      <c r="QJ53" s="8"/>
      <c r="QK53" s="8"/>
      <c r="QL53" s="8"/>
      <c r="QM53" s="8"/>
      <c r="QN53" s="8"/>
      <c r="QO53" s="8"/>
      <c r="QP53" s="8"/>
      <c r="QQ53" s="8"/>
      <c r="QR53" s="8"/>
      <c r="QS53" s="8"/>
      <c r="QT53" s="8"/>
      <c r="QU53" s="8"/>
      <c r="QV53" s="8"/>
      <c r="QW53" s="8"/>
      <c r="QX53" s="8"/>
      <c r="QY53" s="8"/>
      <c r="QZ53" s="8"/>
      <c r="RA53" s="8"/>
      <c r="RB53" s="8"/>
      <c r="RC53" s="8"/>
      <c r="RD53" s="8"/>
      <c r="RE53" s="8"/>
      <c r="RF53" s="8"/>
      <c r="RG53" s="8"/>
      <c r="RH53" s="8"/>
      <c r="RI53" s="8"/>
      <c r="RJ53" s="8"/>
      <c r="RK53" s="8"/>
      <c r="RL53" s="8"/>
      <c r="RM53" s="8"/>
      <c r="RN53" s="8"/>
      <c r="RO53" s="8"/>
      <c r="RP53" s="8"/>
      <c r="RQ53" s="8"/>
      <c r="RR53" s="8"/>
      <c r="RS53" s="8"/>
      <c r="RT53" s="8"/>
      <c r="RU53" s="8"/>
      <c r="RV53" s="8"/>
      <c r="RW53" s="8"/>
      <c r="RX53" s="8"/>
      <c r="RY53" s="8"/>
      <c r="RZ53" s="8"/>
      <c r="SA53" s="8"/>
      <c r="SB53" s="8"/>
      <c r="SC53" s="8"/>
      <c r="SD53" s="8"/>
      <c r="SE53" s="8"/>
      <c r="SF53" s="8"/>
      <c r="SG53" s="8"/>
      <c r="SH53" s="8"/>
      <c r="SI53" s="8"/>
      <c r="SJ53" s="8"/>
      <c r="SK53" s="8"/>
      <c r="SL53" s="8"/>
      <c r="SM53" s="8"/>
      <c r="SN53" s="8"/>
      <c r="SO53" s="8"/>
      <c r="SP53" s="8"/>
      <c r="SQ53" s="8"/>
      <c r="SR53" s="8"/>
      <c r="SS53" s="8"/>
      <c r="ST53" s="8"/>
      <c r="SU53" s="8"/>
      <c r="SV53" s="8"/>
      <c r="SW53" s="8"/>
      <c r="SX53" s="8"/>
      <c r="SY53" s="8"/>
      <c r="SZ53" s="8"/>
      <c r="TA53" s="8"/>
      <c r="TB53" s="8"/>
      <c r="TC53" s="8"/>
      <c r="TD53" s="8"/>
      <c r="TE53" s="8"/>
      <c r="TF53" s="8"/>
      <c r="TG53" s="8"/>
      <c r="TH53" s="8"/>
      <c r="TI53" s="8"/>
      <c r="TJ53" s="8"/>
      <c r="TK53" s="8"/>
      <c r="TL53" s="8"/>
      <c r="TM53" s="8"/>
      <c r="TN53" s="8"/>
      <c r="TO53" s="8"/>
      <c r="TP53" s="8"/>
      <c r="TQ53" s="8"/>
      <c r="TR53" s="8"/>
      <c r="TS53" s="8"/>
      <c r="TT53" s="8"/>
      <c r="TU53" s="8"/>
      <c r="TV53" s="8"/>
      <c r="TW53" s="8"/>
      <c r="TX53" s="8"/>
      <c r="TY53" s="8"/>
      <c r="TZ53" s="8"/>
      <c r="UA53" s="8"/>
      <c r="UB53" s="8"/>
      <c r="UC53" s="8"/>
      <c r="UD53" s="8"/>
      <c r="UE53" s="8"/>
      <c r="UF53" s="8"/>
      <c r="UG53" s="8"/>
      <c r="UH53" s="8"/>
      <c r="UI53" s="8"/>
      <c r="UJ53" s="8"/>
      <c r="UK53" s="8"/>
      <c r="UL53" s="8"/>
      <c r="UM53" s="8"/>
      <c r="UN53" s="8"/>
      <c r="UO53" s="8"/>
      <c r="UP53" s="8"/>
      <c r="UQ53" s="8"/>
      <c r="UR53" s="8"/>
      <c r="US53" s="8"/>
      <c r="UT53" s="8"/>
      <c r="UU53" s="8"/>
      <c r="UV53" s="8"/>
      <c r="UW53" s="8"/>
      <c r="UX53" s="8"/>
      <c r="UY53" s="8"/>
      <c r="UZ53" s="8"/>
      <c r="VA53" s="8"/>
      <c r="VB53" s="8"/>
      <c r="VC53" s="8"/>
      <c r="VD53" s="8"/>
      <c r="VE53" s="8"/>
      <c r="VF53" s="8"/>
      <c r="VG53" s="8"/>
      <c r="VH53" s="8"/>
      <c r="VI53" s="8"/>
      <c r="VJ53" s="8"/>
      <c r="VK53" s="8"/>
      <c r="VL53" s="8"/>
      <c r="VM53" s="8"/>
      <c r="VN53" s="8"/>
      <c r="VO53" s="8"/>
      <c r="VP53" s="8"/>
      <c r="VQ53" s="8"/>
      <c r="VR53" s="8"/>
      <c r="VS53" s="8"/>
      <c r="VT53" s="8"/>
      <c r="VU53" s="8"/>
      <c r="VV53" s="8"/>
      <c r="VW53" s="8"/>
      <c r="VX53" s="8"/>
      <c r="VY53" s="8"/>
      <c r="VZ53" s="8"/>
      <c r="WA53" s="8"/>
      <c r="WB53" s="8"/>
      <c r="WC53" s="8"/>
      <c r="WD53" s="8"/>
      <c r="WE53" s="8"/>
      <c r="WF53" s="8"/>
      <c r="WG53" s="8"/>
      <c r="WH53" s="8"/>
      <c r="WI53" s="8"/>
      <c r="WJ53" s="8"/>
      <c r="WK53" s="8"/>
      <c r="WL53" s="8"/>
      <c r="WM53" s="8"/>
      <c r="WN53" s="8"/>
      <c r="WO53" s="8"/>
      <c r="WP53" s="8"/>
      <c r="WQ53" s="8"/>
      <c r="WR53" s="8"/>
      <c r="WS53" s="8"/>
      <c r="WT53" s="8"/>
      <c r="WU53" s="8"/>
      <c r="WV53" s="8"/>
      <c r="WW53" s="8"/>
      <c r="WX53" s="8"/>
      <c r="WY53" s="8"/>
      <c r="WZ53" s="8"/>
      <c r="XA53" s="8"/>
      <c r="XB53" s="8"/>
      <c r="XC53" s="8"/>
      <c r="XD53" s="8"/>
      <c r="XE53" s="8"/>
      <c r="XF53" s="8"/>
      <c r="XG53" s="8"/>
      <c r="XH53" s="8"/>
      <c r="XI53" s="8"/>
      <c r="XJ53" s="8"/>
      <c r="XK53" s="8"/>
      <c r="XL53" s="8"/>
      <c r="XM53" s="8"/>
      <c r="XN53" s="8"/>
      <c r="XO53" s="8"/>
      <c r="XP53" s="8"/>
      <c r="XQ53" s="8"/>
      <c r="XR53" s="8"/>
      <c r="XS53" s="8"/>
      <c r="XT53" s="8"/>
      <c r="XU53" s="8"/>
      <c r="XV53" s="8"/>
      <c r="XW53" s="8"/>
      <c r="XX53" s="8"/>
      <c r="XY53" s="8"/>
      <c r="XZ53" s="8"/>
      <c r="YA53" s="8"/>
      <c r="YB53" s="8"/>
      <c r="YC53" s="8"/>
      <c r="YD53" s="8"/>
      <c r="YE53" s="8"/>
      <c r="YF53" s="8"/>
      <c r="YG53" s="8"/>
      <c r="YH53" s="8"/>
      <c r="YI53" s="8"/>
      <c r="YJ53" s="8"/>
      <c r="YK53" s="8"/>
      <c r="YL53" s="8"/>
      <c r="YM53" s="8"/>
      <c r="YN53" s="8"/>
      <c r="YO53" s="8"/>
      <c r="YP53" s="8"/>
      <c r="YQ53" s="8"/>
      <c r="YR53" s="8"/>
      <c r="YS53" s="8"/>
      <c r="YT53" s="8"/>
      <c r="YU53" s="8"/>
      <c r="YV53" s="8"/>
      <c r="YW53" s="8"/>
      <c r="YX53" s="8"/>
      <c r="YY53" s="8"/>
      <c r="YZ53" s="8"/>
      <c r="ZA53" s="8"/>
      <c r="ZB53" s="8"/>
      <c r="ZC53" s="8"/>
      <c r="ZD53" s="8"/>
      <c r="ZE53" s="8"/>
      <c r="ZF53" s="8"/>
      <c r="ZG53" s="8"/>
      <c r="ZH53" s="8"/>
      <c r="ZI53" s="8"/>
      <c r="ZJ53" s="8"/>
      <c r="ZK53" s="8"/>
      <c r="ZL53" s="8"/>
      <c r="ZM53" s="8"/>
      <c r="ZN53" s="8"/>
      <c r="ZO53" s="8"/>
      <c r="ZP53" s="8"/>
      <c r="ZQ53" s="8"/>
      <c r="ZR53" s="8"/>
      <c r="ZS53" s="8"/>
      <c r="ZT53" s="8"/>
      <c r="ZU53" s="8"/>
      <c r="ZV53" s="8"/>
      <c r="ZW53" s="8"/>
      <c r="ZX53" s="8"/>
      <c r="ZY53" s="8"/>
      <c r="ZZ53" s="8"/>
      <c r="AAA53" s="8"/>
      <c r="AAB53" s="8"/>
      <c r="AAC53" s="8"/>
      <c r="AAD53" s="8"/>
      <c r="AAE53" s="8"/>
      <c r="AAF53" s="8"/>
      <c r="AAG53" s="8"/>
      <c r="AAH53" s="8"/>
      <c r="AAI53" s="8"/>
      <c r="AAJ53" s="8"/>
      <c r="AAK53" s="8"/>
      <c r="AAL53" s="8"/>
      <c r="AAM53" s="8"/>
      <c r="AAN53" s="8"/>
      <c r="AAO53" s="8"/>
      <c r="AAP53" s="8"/>
      <c r="AAQ53" s="8"/>
      <c r="AAR53" s="8"/>
      <c r="AAS53" s="8"/>
      <c r="AAT53" s="8"/>
      <c r="AAU53" s="8"/>
      <c r="AAV53" s="8"/>
      <c r="AAW53" s="8"/>
      <c r="AAX53" s="8"/>
      <c r="AAY53" s="8"/>
      <c r="AAZ53" s="8"/>
      <c r="ABA53" s="8"/>
      <c r="ABB53" s="8"/>
      <c r="ABC53" s="8"/>
      <c r="ABD53" s="8"/>
    </row>
    <row r="54" spans="1:732" s="26" customFormat="1">
      <c r="IU54" s="8"/>
      <c r="IV54" s="8"/>
      <c r="IW54" s="8"/>
      <c r="IX54" s="8"/>
      <c r="IY54" s="8"/>
      <c r="IZ54" s="8"/>
      <c r="JA54" s="8"/>
      <c r="JB54" s="8"/>
      <c r="JC54" s="8"/>
      <c r="JD54" s="8"/>
      <c r="JE54" s="8"/>
      <c r="JF54" s="8"/>
      <c r="JG54" s="8"/>
      <c r="JH54" s="8"/>
      <c r="JI54" s="8"/>
      <c r="JJ54" s="8"/>
      <c r="JK54" s="8"/>
      <c r="JL54" s="8"/>
      <c r="JM54" s="8"/>
      <c r="JN54" s="8"/>
      <c r="JO54" s="8"/>
      <c r="JP54" s="8"/>
      <c r="JQ54" s="8"/>
      <c r="JR54" s="8"/>
      <c r="JS54" s="8"/>
      <c r="JT54" s="8"/>
      <c r="JU54" s="8"/>
      <c r="JV54" s="8"/>
      <c r="JW54" s="8"/>
      <c r="JX54" s="8"/>
      <c r="JY54" s="8"/>
      <c r="JZ54" s="8"/>
      <c r="KA54" s="8"/>
      <c r="KB54" s="8"/>
      <c r="KC54" s="8"/>
      <c r="KD54" s="8"/>
      <c r="KE54" s="8"/>
      <c r="KF54" s="8"/>
      <c r="KG54" s="8"/>
      <c r="KH54" s="8"/>
      <c r="KI54" s="8"/>
      <c r="KJ54" s="8"/>
      <c r="KK54" s="8"/>
      <c r="KL54" s="8"/>
      <c r="KM54" s="8"/>
      <c r="KN54" s="8"/>
      <c r="KO54" s="8"/>
      <c r="KP54" s="8"/>
      <c r="KQ54" s="8"/>
      <c r="KR54" s="8"/>
      <c r="KS54" s="8"/>
      <c r="KT54" s="8"/>
      <c r="KU54" s="8"/>
      <c r="KV54" s="8"/>
      <c r="KW54" s="8"/>
      <c r="KX54" s="8"/>
      <c r="KY54" s="8"/>
      <c r="KZ54" s="8"/>
      <c r="LA54" s="8"/>
      <c r="LB54" s="8"/>
      <c r="LC54" s="8"/>
      <c r="LD54" s="8"/>
      <c r="LE54" s="8"/>
      <c r="LF54" s="8"/>
      <c r="LG54" s="8"/>
      <c r="LH54" s="8"/>
      <c r="LI54" s="8"/>
      <c r="LJ54" s="8"/>
      <c r="LK54" s="8"/>
      <c r="LL54" s="8"/>
      <c r="LM54" s="8"/>
      <c r="LN54" s="8"/>
      <c r="LO54" s="8"/>
      <c r="LP54" s="8"/>
      <c r="LQ54" s="8"/>
      <c r="LR54" s="8"/>
      <c r="LS54" s="8"/>
      <c r="LT54" s="8"/>
      <c r="LU54" s="8"/>
      <c r="LV54" s="8"/>
      <c r="LW54" s="8"/>
      <c r="LX54" s="8"/>
      <c r="LY54" s="8"/>
      <c r="LZ54" s="8"/>
      <c r="MA54" s="8"/>
      <c r="MB54" s="8"/>
      <c r="MC54" s="8"/>
      <c r="MD54" s="8"/>
      <c r="ME54" s="8"/>
      <c r="MF54" s="8"/>
      <c r="MG54" s="8"/>
      <c r="MH54" s="8"/>
      <c r="MI54" s="8"/>
      <c r="MJ54" s="8"/>
      <c r="MK54" s="8"/>
      <c r="ML54" s="8"/>
      <c r="MM54" s="8"/>
      <c r="MN54" s="8"/>
      <c r="MO54" s="8"/>
      <c r="MP54" s="8"/>
      <c r="MQ54" s="8"/>
      <c r="MR54" s="8"/>
      <c r="MS54" s="8"/>
      <c r="MT54" s="8"/>
      <c r="MU54" s="8"/>
      <c r="MV54" s="8"/>
      <c r="MW54" s="8"/>
      <c r="MX54" s="8"/>
      <c r="MY54" s="8"/>
      <c r="MZ54" s="8"/>
      <c r="NA54" s="8"/>
      <c r="NB54" s="8"/>
      <c r="NC54" s="8"/>
      <c r="ND54" s="8"/>
      <c r="NE54" s="8"/>
      <c r="NF54" s="8"/>
      <c r="NG54" s="8"/>
      <c r="NH54" s="8"/>
      <c r="NI54" s="8"/>
      <c r="NJ54" s="8"/>
      <c r="NK54" s="8"/>
      <c r="NL54" s="8"/>
      <c r="NM54" s="8"/>
      <c r="NN54" s="8"/>
      <c r="NO54" s="8"/>
      <c r="NP54" s="8"/>
      <c r="NQ54" s="8"/>
      <c r="NR54" s="8"/>
      <c r="NS54" s="8"/>
      <c r="NT54" s="8"/>
      <c r="NU54" s="8"/>
      <c r="NV54" s="8"/>
      <c r="NW54" s="8"/>
      <c r="NX54" s="8"/>
      <c r="NY54" s="8"/>
      <c r="NZ54" s="8"/>
      <c r="OA54" s="8"/>
      <c r="OB54" s="8"/>
      <c r="OC54" s="8"/>
      <c r="OD54" s="8"/>
      <c r="OE54" s="8"/>
      <c r="OF54" s="8"/>
      <c r="OG54" s="8"/>
      <c r="OH54" s="8"/>
      <c r="OI54" s="8"/>
      <c r="OJ54" s="8"/>
      <c r="OK54" s="8"/>
      <c r="OL54" s="8"/>
      <c r="OM54" s="8"/>
      <c r="ON54" s="8"/>
      <c r="OO54" s="8"/>
      <c r="OP54" s="8"/>
      <c r="OQ54" s="8"/>
      <c r="OR54" s="8"/>
      <c r="OS54" s="8"/>
      <c r="OT54" s="8"/>
      <c r="OU54" s="8"/>
      <c r="OV54" s="8"/>
      <c r="OW54" s="8"/>
      <c r="OX54" s="8"/>
      <c r="OY54" s="8"/>
      <c r="OZ54" s="8"/>
      <c r="PA54" s="8"/>
      <c r="PB54" s="8"/>
      <c r="PC54" s="8"/>
      <c r="PD54" s="8"/>
      <c r="PE54" s="8"/>
      <c r="PF54" s="8"/>
      <c r="PG54" s="8"/>
      <c r="PH54" s="8"/>
      <c r="PI54" s="8"/>
      <c r="PJ54" s="8"/>
      <c r="PK54" s="8"/>
      <c r="PL54" s="8"/>
      <c r="PM54" s="8"/>
      <c r="PN54" s="8"/>
      <c r="PO54" s="8"/>
      <c r="PP54" s="8"/>
      <c r="PQ54" s="8"/>
      <c r="PR54" s="8"/>
      <c r="PS54" s="8"/>
      <c r="PT54" s="8"/>
      <c r="PU54" s="8"/>
      <c r="PV54" s="8"/>
      <c r="PW54" s="8"/>
      <c r="PX54" s="8"/>
      <c r="PY54" s="8"/>
      <c r="PZ54" s="8"/>
      <c r="QA54" s="8"/>
      <c r="QB54" s="8"/>
      <c r="QC54" s="8"/>
      <c r="QD54" s="8"/>
      <c r="QE54" s="8"/>
      <c r="QF54" s="8"/>
      <c r="QG54" s="8"/>
      <c r="QH54" s="8"/>
      <c r="QI54" s="8"/>
      <c r="QJ54" s="8"/>
      <c r="QK54" s="8"/>
      <c r="QL54" s="8"/>
      <c r="QM54" s="8"/>
      <c r="QN54" s="8"/>
      <c r="QO54" s="8"/>
      <c r="QP54" s="8"/>
      <c r="QQ54" s="8"/>
      <c r="QR54" s="8"/>
      <c r="QS54" s="8"/>
      <c r="QT54" s="8"/>
      <c r="QU54" s="8"/>
      <c r="QV54" s="8"/>
      <c r="QW54" s="8"/>
      <c r="QX54" s="8"/>
      <c r="QY54" s="8"/>
      <c r="QZ54" s="8"/>
      <c r="RA54" s="8"/>
      <c r="RB54" s="8"/>
      <c r="RC54" s="8"/>
      <c r="RD54" s="8"/>
      <c r="RE54" s="8"/>
      <c r="RF54" s="8"/>
      <c r="RG54" s="8"/>
      <c r="RH54" s="8"/>
      <c r="RI54" s="8"/>
      <c r="RJ54" s="8"/>
      <c r="RK54" s="8"/>
      <c r="RL54" s="8"/>
      <c r="RM54" s="8"/>
      <c r="RN54" s="8"/>
      <c r="RO54" s="8"/>
      <c r="RP54" s="8"/>
      <c r="RQ54" s="8"/>
      <c r="RR54" s="8"/>
      <c r="RS54" s="8"/>
      <c r="RT54" s="8"/>
      <c r="RU54" s="8"/>
      <c r="RV54" s="8"/>
      <c r="RW54" s="8"/>
      <c r="RX54" s="8"/>
      <c r="RY54" s="8"/>
      <c r="RZ54" s="8"/>
      <c r="SA54" s="8"/>
      <c r="SB54" s="8"/>
      <c r="SC54" s="8"/>
      <c r="SD54" s="8"/>
      <c r="SE54" s="8"/>
      <c r="SF54" s="8"/>
      <c r="SG54" s="8"/>
      <c r="SH54" s="8"/>
      <c r="SI54" s="8"/>
      <c r="SJ54" s="8"/>
      <c r="SK54" s="8"/>
      <c r="SL54" s="8"/>
      <c r="SM54" s="8"/>
      <c r="SN54" s="8"/>
      <c r="SO54" s="8"/>
      <c r="SP54" s="8"/>
      <c r="SQ54" s="8"/>
      <c r="SR54" s="8"/>
      <c r="SS54" s="8"/>
      <c r="ST54" s="8"/>
      <c r="SU54" s="8"/>
      <c r="SV54" s="8"/>
      <c r="SW54" s="8"/>
      <c r="SX54" s="8"/>
      <c r="SY54" s="8"/>
      <c r="SZ54" s="8"/>
      <c r="TA54" s="8"/>
      <c r="TB54" s="8"/>
      <c r="TC54" s="8"/>
      <c r="TD54" s="8"/>
      <c r="TE54" s="8"/>
      <c r="TF54" s="8"/>
      <c r="TG54" s="8"/>
      <c r="TH54" s="8"/>
      <c r="TI54" s="8"/>
      <c r="TJ54" s="8"/>
      <c r="TK54" s="8"/>
      <c r="TL54" s="8"/>
      <c r="TM54" s="8"/>
      <c r="TN54" s="8"/>
      <c r="TO54" s="8"/>
      <c r="TP54" s="8"/>
      <c r="TQ54" s="8"/>
      <c r="TR54" s="8"/>
      <c r="TS54" s="8"/>
      <c r="TT54" s="8"/>
      <c r="TU54" s="8"/>
      <c r="TV54" s="8"/>
      <c r="TW54" s="8"/>
      <c r="TX54" s="8"/>
      <c r="TY54" s="8"/>
      <c r="TZ54" s="8"/>
      <c r="UA54" s="8"/>
      <c r="UB54" s="8"/>
      <c r="UC54" s="8"/>
      <c r="UD54" s="8"/>
      <c r="UE54" s="8"/>
      <c r="UF54" s="8"/>
      <c r="UG54" s="8"/>
      <c r="UH54" s="8"/>
      <c r="UI54" s="8"/>
      <c r="UJ54" s="8"/>
      <c r="UK54" s="8"/>
      <c r="UL54" s="8"/>
      <c r="UM54" s="8"/>
      <c r="UN54" s="8"/>
      <c r="UO54" s="8"/>
      <c r="UP54" s="8"/>
      <c r="UQ54" s="8"/>
      <c r="UR54" s="8"/>
      <c r="US54" s="8"/>
      <c r="UT54" s="8"/>
      <c r="UU54" s="8"/>
      <c r="UV54" s="8"/>
      <c r="UW54" s="8"/>
      <c r="UX54" s="8"/>
      <c r="UY54" s="8"/>
      <c r="UZ54" s="8"/>
      <c r="VA54" s="8"/>
      <c r="VB54" s="8"/>
      <c r="VC54" s="8"/>
      <c r="VD54" s="8"/>
      <c r="VE54" s="8"/>
      <c r="VF54" s="8"/>
      <c r="VG54" s="8"/>
      <c r="VH54" s="8"/>
      <c r="VI54" s="8"/>
      <c r="VJ54" s="8"/>
      <c r="VK54" s="8"/>
      <c r="VL54" s="8"/>
      <c r="VM54" s="8"/>
      <c r="VN54" s="8"/>
      <c r="VO54" s="8"/>
      <c r="VP54" s="8"/>
      <c r="VQ54" s="8"/>
      <c r="VR54" s="8"/>
      <c r="VS54" s="8"/>
      <c r="VT54" s="8"/>
      <c r="VU54" s="8"/>
      <c r="VV54" s="8"/>
      <c r="VW54" s="8"/>
      <c r="VX54" s="8"/>
      <c r="VY54" s="8"/>
      <c r="VZ54" s="8"/>
      <c r="WA54" s="8"/>
      <c r="WB54" s="8"/>
      <c r="WC54" s="8"/>
      <c r="WD54" s="8"/>
      <c r="WE54" s="8"/>
      <c r="WF54" s="8"/>
      <c r="WG54" s="8"/>
      <c r="WH54" s="8"/>
      <c r="WI54" s="8"/>
      <c r="WJ54" s="8"/>
      <c r="WK54" s="8"/>
      <c r="WL54" s="8"/>
      <c r="WM54" s="8"/>
      <c r="WN54" s="8"/>
      <c r="WO54" s="8"/>
      <c r="WP54" s="8"/>
      <c r="WQ54" s="8"/>
      <c r="WR54" s="8"/>
      <c r="WS54" s="8"/>
      <c r="WT54" s="8"/>
      <c r="WU54" s="8"/>
      <c r="WV54" s="8"/>
      <c r="WW54" s="8"/>
      <c r="WX54" s="8"/>
      <c r="WY54" s="8"/>
      <c r="WZ54" s="8"/>
      <c r="XA54" s="8"/>
      <c r="XB54" s="8"/>
      <c r="XC54" s="8"/>
      <c r="XD54" s="8"/>
      <c r="XE54" s="8"/>
      <c r="XF54" s="8"/>
      <c r="XG54" s="8"/>
      <c r="XH54" s="8"/>
      <c r="XI54" s="8"/>
      <c r="XJ54" s="8"/>
      <c r="XK54" s="8"/>
      <c r="XL54" s="8"/>
      <c r="XM54" s="8"/>
      <c r="XN54" s="8"/>
      <c r="XO54" s="8"/>
      <c r="XP54" s="8"/>
      <c r="XQ54" s="8"/>
      <c r="XR54" s="8"/>
      <c r="XS54" s="8"/>
      <c r="XT54" s="8"/>
      <c r="XU54" s="8"/>
      <c r="XV54" s="8"/>
      <c r="XW54" s="8"/>
      <c r="XX54" s="8"/>
      <c r="XY54" s="8"/>
      <c r="XZ54" s="8"/>
      <c r="YA54" s="8"/>
      <c r="YB54" s="8"/>
      <c r="YC54" s="8"/>
      <c r="YD54" s="8"/>
      <c r="YE54" s="8"/>
      <c r="YF54" s="8"/>
      <c r="YG54" s="8"/>
      <c r="YH54" s="8"/>
      <c r="YI54" s="8"/>
      <c r="YJ54" s="8"/>
      <c r="YK54" s="8"/>
      <c r="YL54" s="8"/>
      <c r="YM54" s="8"/>
      <c r="YN54" s="8"/>
      <c r="YO54" s="8"/>
      <c r="YP54" s="8"/>
      <c r="YQ54" s="8"/>
      <c r="YR54" s="8"/>
      <c r="YS54" s="8"/>
      <c r="YT54" s="8"/>
      <c r="YU54" s="8"/>
      <c r="YV54" s="8"/>
      <c r="YW54" s="8"/>
      <c r="YX54" s="8"/>
      <c r="YY54" s="8"/>
      <c r="YZ54" s="8"/>
      <c r="ZA54" s="8"/>
      <c r="ZB54" s="8"/>
      <c r="ZC54" s="8"/>
      <c r="ZD54" s="8"/>
      <c r="ZE54" s="8"/>
      <c r="ZF54" s="8"/>
      <c r="ZG54" s="8"/>
      <c r="ZH54" s="8"/>
      <c r="ZI54" s="8"/>
      <c r="ZJ54" s="8"/>
      <c r="ZK54" s="8"/>
      <c r="ZL54" s="8"/>
      <c r="ZM54" s="8"/>
      <c r="ZN54" s="8"/>
      <c r="ZO54" s="8"/>
      <c r="ZP54" s="8"/>
      <c r="ZQ54" s="8"/>
      <c r="ZR54" s="8"/>
      <c r="ZS54" s="8"/>
      <c r="ZT54" s="8"/>
      <c r="ZU54" s="8"/>
      <c r="ZV54" s="8"/>
      <c r="ZW54" s="8"/>
      <c r="ZX54" s="8"/>
      <c r="ZY54" s="8"/>
      <c r="ZZ54" s="8"/>
      <c r="AAA54" s="8"/>
      <c r="AAB54" s="8"/>
      <c r="AAC54" s="8"/>
      <c r="AAD54" s="8"/>
      <c r="AAE54" s="8"/>
      <c r="AAF54" s="8"/>
      <c r="AAG54" s="8"/>
      <c r="AAH54" s="8"/>
      <c r="AAI54" s="8"/>
      <c r="AAJ54" s="8"/>
      <c r="AAK54" s="8"/>
      <c r="AAL54" s="8"/>
      <c r="AAM54" s="8"/>
      <c r="AAN54" s="8"/>
      <c r="AAO54" s="8"/>
      <c r="AAP54" s="8"/>
      <c r="AAQ54" s="8"/>
      <c r="AAR54" s="8"/>
      <c r="AAS54" s="8"/>
      <c r="AAT54" s="8"/>
      <c r="AAU54" s="8"/>
      <c r="AAV54" s="8"/>
      <c r="AAW54" s="8"/>
      <c r="AAX54" s="8"/>
      <c r="AAY54" s="8"/>
      <c r="AAZ54" s="8"/>
      <c r="ABA54" s="8"/>
      <c r="ABB54" s="8"/>
      <c r="ABC54" s="8"/>
      <c r="ABD54" s="8"/>
    </row>
    <row r="55" spans="1:732" s="26" customFormat="1">
      <c r="IU55" s="8"/>
      <c r="IV55" s="8"/>
      <c r="IW55" s="8"/>
      <c r="IX55" s="8"/>
      <c r="IY55" s="8"/>
      <c r="IZ55" s="8"/>
      <c r="JA55" s="8"/>
      <c r="JB55" s="8"/>
      <c r="JC55" s="8"/>
      <c r="JD55" s="8"/>
      <c r="JE55" s="8"/>
      <c r="JF55" s="8"/>
      <c r="JG55" s="8"/>
      <c r="JH55" s="8"/>
      <c r="JI55" s="8"/>
      <c r="JJ55" s="8"/>
      <c r="JK55" s="8"/>
      <c r="JL55" s="8"/>
      <c r="JM55" s="8"/>
      <c r="JN55" s="8"/>
      <c r="JO55" s="8"/>
      <c r="JP55" s="8"/>
      <c r="JQ55" s="8"/>
      <c r="JR55" s="8"/>
      <c r="JS55" s="8"/>
      <c r="JT55" s="8"/>
      <c r="JU55" s="8"/>
      <c r="JV55" s="8"/>
      <c r="JW55" s="8"/>
      <c r="JX55" s="8"/>
      <c r="JY55" s="8"/>
      <c r="JZ55" s="8"/>
      <c r="KA55" s="8"/>
      <c r="KB55" s="8"/>
      <c r="KC55" s="8"/>
      <c r="KD55" s="8"/>
      <c r="KE55" s="8"/>
      <c r="KF55" s="8"/>
      <c r="KG55" s="8"/>
      <c r="KH55" s="8"/>
      <c r="KI55" s="8"/>
      <c r="KJ55" s="8"/>
      <c r="KK55" s="8"/>
      <c r="KL55" s="8"/>
      <c r="KM55" s="8"/>
      <c r="KN55" s="8"/>
      <c r="KO55" s="8"/>
      <c r="KP55" s="8"/>
      <c r="KQ55" s="8"/>
      <c r="KR55" s="8"/>
      <c r="KS55" s="8"/>
      <c r="KT55" s="8"/>
      <c r="KU55" s="8"/>
      <c r="KV55" s="8"/>
      <c r="KW55" s="8"/>
      <c r="KX55" s="8"/>
      <c r="KY55" s="8"/>
      <c r="KZ55" s="8"/>
      <c r="LA55" s="8"/>
      <c r="LB55" s="8"/>
      <c r="LC55" s="8"/>
      <c r="LD55" s="8"/>
      <c r="LE55" s="8"/>
      <c r="LF55" s="8"/>
      <c r="LG55" s="8"/>
      <c r="LH55" s="8"/>
      <c r="LI55" s="8"/>
      <c r="LJ55" s="8"/>
      <c r="LK55" s="8"/>
      <c r="LL55" s="8"/>
      <c r="LM55" s="8"/>
      <c r="LN55" s="8"/>
      <c r="LO55" s="8"/>
      <c r="LP55" s="8"/>
      <c r="LQ55" s="8"/>
      <c r="LR55" s="8"/>
      <c r="LS55" s="8"/>
      <c r="LT55" s="8"/>
      <c r="LU55" s="8"/>
      <c r="LV55" s="8"/>
      <c r="LW55" s="8"/>
      <c r="LX55" s="8"/>
      <c r="LY55" s="8"/>
      <c r="LZ55" s="8"/>
      <c r="MA55" s="8"/>
      <c r="MB55" s="8"/>
      <c r="MC55" s="8"/>
      <c r="MD55" s="8"/>
      <c r="ME55" s="8"/>
      <c r="MF55" s="8"/>
      <c r="MG55" s="8"/>
      <c r="MH55" s="8"/>
      <c r="MI55" s="8"/>
      <c r="MJ55" s="8"/>
      <c r="MK55" s="8"/>
      <c r="ML55" s="8"/>
      <c r="MM55" s="8"/>
      <c r="MN55" s="8"/>
      <c r="MO55" s="8"/>
      <c r="MP55" s="8"/>
      <c r="MQ55" s="8"/>
      <c r="MR55" s="8"/>
      <c r="MS55" s="8"/>
      <c r="MT55" s="8"/>
      <c r="MU55" s="8"/>
      <c r="MV55" s="8"/>
      <c r="MW55" s="8"/>
      <c r="MX55" s="8"/>
      <c r="MY55" s="8"/>
      <c r="MZ55" s="8"/>
      <c r="NA55" s="8"/>
      <c r="NB55" s="8"/>
      <c r="NC55" s="8"/>
      <c r="ND55" s="8"/>
      <c r="NE55" s="8"/>
      <c r="NF55" s="8"/>
      <c r="NG55" s="8"/>
      <c r="NH55" s="8"/>
      <c r="NI55" s="8"/>
      <c r="NJ55" s="8"/>
      <c r="NK55" s="8"/>
      <c r="NL55" s="8"/>
      <c r="NM55" s="8"/>
      <c r="NN55" s="8"/>
      <c r="NO55" s="8"/>
      <c r="NP55" s="8"/>
      <c r="NQ55" s="8"/>
      <c r="NR55" s="8"/>
      <c r="NS55" s="8"/>
      <c r="NT55" s="8"/>
      <c r="NU55" s="8"/>
      <c r="NV55" s="8"/>
      <c r="NW55" s="8"/>
      <c r="NX55" s="8"/>
      <c r="NY55" s="8"/>
      <c r="NZ55" s="8"/>
      <c r="OA55" s="8"/>
      <c r="OB55" s="8"/>
      <c r="OC55" s="8"/>
      <c r="OD55" s="8"/>
      <c r="OE55" s="8"/>
      <c r="OF55" s="8"/>
      <c r="OG55" s="8"/>
      <c r="OH55" s="8"/>
      <c r="OI55" s="8"/>
      <c r="OJ55" s="8"/>
      <c r="OK55" s="8"/>
      <c r="OL55" s="8"/>
      <c r="OM55" s="8"/>
      <c r="ON55" s="8"/>
      <c r="OO55" s="8"/>
      <c r="OP55" s="8"/>
      <c r="OQ55" s="8"/>
      <c r="OR55" s="8"/>
      <c r="OS55" s="8"/>
      <c r="OT55" s="8"/>
      <c r="OU55" s="8"/>
      <c r="OV55" s="8"/>
      <c r="OW55" s="8"/>
      <c r="OX55" s="8"/>
      <c r="OY55" s="8"/>
      <c r="OZ55" s="8"/>
      <c r="PA55" s="8"/>
      <c r="PB55" s="8"/>
      <c r="PC55" s="8"/>
      <c r="PD55" s="8"/>
      <c r="PE55" s="8"/>
      <c r="PF55" s="8"/>
      <c r="PG55" s="8"/>
      <c r="PH55" s="8"/>
      <c r="PI55" s="8"/>
      <c r="PJ55" s="8"/>
      <c r="PK55" s="8"/>
      <c r="PL55" s="8"/>
      <c r="PM55" s="8"/>
      <c r="PN55" s="8"/>
      <c r="PO55" s="8"/>
      <c r="PP55" s="8"/>
      <c r="PQ55" s="8"/>
      <c r="PR55" s="8"/>
      <c r="PS55" s="8"/>
      <c r="PT55" s="8"/>
      <c r="PU55" s="8"/>
      <c r="PV55" s="8"/>
      <c r="PW55" s="8"/>
      <c r="PX55" s="8"/>
      <c r="PY55" s="8"/>
      <c r="PZ55" s="8"/>
      <c r="QA55" s="8"/>
      <c r="QB55" s="8"/>
      <c r="QC55" s="8"/>
      <c r="QD55" s="8"/>
      <c r="QE55" s="8"/>
      <c r="QF55" s="8"/>
      <c r="QG55" s="8"/>
      <c r="QH55" s="8"/>
      <c r="QI55" s="8"/>
      <c r="QJ55" s="8"/>
      <c r="QK55" s="8"/>
      <c r="QL55" s="8"/>
      <c r="QM55" s="8"/>
      <c r="QN55" s="8"/>
      <c r="QO55" s="8"/>
      <c r="QP55" s="8"/>
      <c r="QQ55" s="8"/>
      <c r="QR55" s="8"/>
      <c r="QS55" s="8"/>
      <c r="QT55" s="8"/>
      <c r="QU55" s="8"/>
      <c r="QV55" s="8"/>
      <c r="QW55" s="8"/>
      <c r="QX55" s="8"/>
      <c r="QY55" s="8"/>
      <c r="QZ55" s="8"/>
      <c r="RA55" s="8"/>
      <c r="RB55" s="8"/>
      <c r="RC55" s="8"/>
      <c r="RD55" s="8"/>
      <c r="RE55" s="8"/>
      <c r="RF55" s="8"/>
      <c r="RG55" s="8"/>
      <c r="RH55" s="8"/>
      <c r="RI55" s="8"/>
      <c r="RJ55" s="8"/>
      <c r="RK55" s="8"/>
      <c r="RL55" s="8"/>
      <c r="RM55" s="8"/>
      <c r="RN55" s="8"/>
      <c r="RO55" s="8"/>
      <c r="RP55" s="8"/>
      <c r="RQ55" s="8"/>
      <c r="RR55" s="8"/>
      <c r="RS55" s="8"/>
      <c r="RT55" s="8"/>
      <c r="RU55" s="8"/>
      <c r="RV55" s="8"/>
      <c r="RW55" s="8"/>
      <c r="RX55" s="8"/>
      <c r="RY55" s="8"/>
      <c r="RZ55" s="8"/>
      <c r="SA55" s="8"/>
      <c r="SB55" s="8"/>
      <c r="SC55" s="8"/>
      <c r="SD55" s="8"/>
      <c r="SE55" s="8"/>
      <c r="SF55" s="8"/>
      <c r="SG55" s="8"/>
      <c r="SH55" s="8"/>
      <c r="SI55" s="8"/>
      <c r="SJ55" s="8"/>
      <c r="SK55" s="8"/>
      <c r="SL55" s="8"/>
      <c r="SM55" s="8"/>
      <c r="SN55" s="8"/>
      <c r="SO55" s="8"/>
      <c r="SP55" s="8"/>
      <c r="SQ55" s="8"/>
      <c r="SR55" s="8"/>
      <c r="SS55" s="8"/>
      <c r="ST55" s="8"/>
      <c r="SU55" s="8"/>
      <c r="SV55" s="8"/>
      <c r="SW55" s="8"/>
      <c r="SX55" s="8"/>
      <c r="SY55" s="8"/>
      <c r="SZ55" s="8"/>
      <c r="TA55" s="8"/>
      <c r="TB55" s="8"/>
      <c r="TC55" s="8"/>
      <c r="TD55" s="8"/>
      <c r="TE55" s="8"/>
      <c r="TF55" s="8"/>
      <c r="TG55" s="8"/>
      <c r="TH55" s="8"/>
      <c r="TI55" s="8"/>
      <c r="TJ55" s="8"/>
      <c r="TK55" s="8"/>
      <c r="TL55" s="8"/>
      <c r="TM55" s="8"/>
      <c r="TN55" s="8"/>
      <c r="TO55" s="8"/>
      <c r="TP55" s="8"/>
      <c r="TQ55" s="8"/>
      <c r="TR55" s="8"/>
      <c r="TS55" s="8"/>
      <c r="TT55" s="8"/>
      <c r="TU55" s="8"/>
      <c r="TV55" s="8"/>
      <c r="TW55" s="8"/>
      <c r="TX55" s="8"/>
      <c r="TY55" s="8"/>
      <c r="TZ55" s="8"/>
      <c r="UA55" s="8"/>
      <c r="UB55" s="8"/>
      <c r="UC55" s="8"/>
      <c r="UD55" s="8"/>
      <c r="UE55" s="8"/>
      <c r="UF55" s="8"/>
      <c r="UG55" s="8"/>
      <c r="UH55" s="8"/>
      <c r="UI55" s="8"/>
      <c r="UJ55" s="8"/>
      <c r="UK55" s="8"/>
      <c r="UL55" s="8"/>
      <c r="UM55" s="8"/>
      <c r="UN55" s="8"/>
      <c r="UO55" s="8"/>
      <c r="UP55" s="8"/>
      <c r="UQ55" s="8"/>
      <c r="UR55" s="8"/>
      <c r="US55" s="8"/>
      <c r="UT55" s="8"/>
      <c r="UU55" s="8"/>
      <c r="UV55" s="8"/>
      <c r="UW55" s="8"/>
      <c r="UX55" s="8"/>
      <c r="UY55" s="8"/>
      <c r="UZ55" s="8"/>
      <c r="VA55" s="8"/>
      <c r="VB55" s="8"/>
      <c r="VC55" s="8"/>
      <c r="VD55" s="8"/>
      <c r="VE55" s="8"/>
      <c r="VF55" s="8"/>
      <c r="VG55" s="8"/>
      <c r="VH55" s="8"/>
      <c r="VI55" s="8"/>
      <c r="VJ55" s="8"/>
      <c r="VK55" s="8"/>
      <c r="VL55" s="8"/>
      <c r="VM55" s="8"/>
      <c r="VN55" s="8"/>
      <c r="VO55" s="8"/>
      <c r="VP55" s="8"/>
      <c r="VQ55" s="8"/>
      <c r="VR55" s="8"/>
      <c r="VS55" s="8"/>
      <c r="VT55" s="8"/>
      <c r="VU55" s="8"/>
      <c r="VV55" s="8"/>
      <c r="VW55" s="8"/>
      <c r="VX55" s="8"/>
      <c r="VY55" s="8"/>
      <c r="VZ55" s="8"/>
      <c r="WA55" s="8"/>
      <c r="WB55" s="8"/>
      <c r="WC55" s="8"/>
      <c r="WD55" s="8"/>
      <c r="WE55" s="8"/>
      <c r="WF55" s="8"/>
      <c r="WG55" s="8"/>
      <c r="WH55" s="8"/>
      <c r="WI55" s="8"/>
      <c r="WJ55" s="8"/>
      <c r="WK55" s="8"/>
      <c r="WL55" s="8"/>
      <c r="WM55" s="8"/>
      <c r="WN55" s="8"/>
      <c r="WO55" s="8"/>
      <c r="WP55" s="8"/>
      <c r="WQ55" s="8"/>
      <c r="WR55" s="8"/>
      <c r="WS55" s="8"/>
      <c r="WT55" s="8"/>
      <c r="WU55" s="8"/>
      <c r="WV55" s="8"/>
      <c r="WW55" s="8"/>
      <c r="WX55" s="8"/>
      <c r="WY55" s="8"/>
      <c r="WZ55" s="8"/>
      <c r="XA55" s="8"/>
      <c r="XB55" s="8"/>
      <c r="XC55" s="8"/>
      <c r="XD55" s="8"/>
      <c r="XE55" s="8"/>
      <c r="XF55" s="8"/>
      <c r="XG55" s="8"/>
      <c r="XH55" s="8"/>
      <c r="XI55" s="8"/>
      <c r="XJ55" s="8"/>
      <c r="XK55" s="8"/>
      <c r="XL55" s="8"/>
      <c r="XM55" s="8"/>
      <c r="XN55" s="8"/>
      <c r="XO55" s="8"/>
      <c r="XP55" s="8"/>
      <c r="XQ55" s="8"/>
      <c r="XR55" s="8"/>
      <c r="XS55" s="8"/>
      <c r="XT55" s="8"/>
      <c r="XU55" s="8"/>
      <c r="XV55" s="8"/>
      <c r="XW55" s="8"/>
      <c r="XX55" s="8"/>
      <c r="XY55" s="8"/>
      <c r="XZ55" s="8"/>
      <c r="YA55" s="8"/>
      <c r="YB55" s="8"/>
      <c r="YC55" s="8"/>
      <c r="YD55" s="8"/>
      <c r="YE55" s="8"/>
      <c r="YF55" s="8"/>
      <c r="YG55" s="8"/>
      <c r="YH55" s="8"/>
      <c r="YI55" s="8"/>
      <c r="YJ55" s="8"/>
      <c r="YK55" s="8"/>
      <c r="YL55" s="8"/>
      <c r="YM55" s="8"/>
      <c r="YN55" s="8"/>
      <c r="YO55" s="8"/>
      <c r="YP55" s="8"/>
      <c r="YQ55" s="8"/>
      <c r="YR55" s="8"/>
      <c r="YS55" s="8"/>
      <c r="YT55" s="8"/>
      <c r="YU55" s="8"/>
      <c r="YV55" s="8"/>
      <c r="YW55" s="8"/>
      <c r="YX55" s="8"/>
      <c r="YY55" s="8"/>
      <c r="YZ55" s="8"/>
      <c r="ZA55" s="8"/>
      <c r="ZB55" s="8"/>
      <c r="ZC55" s="8"/>
      <c r="ZD55" s="8"/>
      <c r="ZE55" s="8"/>
      <c r="ZF55" s="8"/>
      <c r="ZG55" s="8"/>
      <c r="ZH55" s="8"/>
      <c r="ZI55" s="8"/>
      <c r="ZJ55" s="8"/>
      <c r="ZK55" s="8"/>
      <c r="ZL55" s="8"/>
      <c r="ZM55" s="8"/>
      <c r="ZN55" s="8"/>
      <c r="ZO55" s="8"/>
      <c r="ZP55" s="8"/>
      <c r="ZQ55" s="8"/>
      <c r="ZR55" s="8"/>
      <c r="ZS55" s="8"/>
      <c r="ZT55" s="8"/>
      <c r="ZU55" s="8"/>
      <c r="ZV55" s="8"/>
      <c r="ZW55" s="8"/>
      <c r="ZX55" s="8"/>
      <c r="ZY55" s="8"/>
      <c r="ZZ55" s="8"/>
      <c r="AAA55" s="8"/>
      <c r="AAB55" s="8"/>
      <c r="AAC55" s="8"/>
      <c r="AAD55" s="8"/>
      <c r="AAE55" s="8"/>
      <c r="AAF55" s="8"/>
      <c r="AAG55" s="8"/>
      <c r="AAH55" s="8"/>
      <c r="AAI55" s="8"/>
      <c r="AAJ55" s="8"/>
      <c r="AAK55" s="8"/>
      <c r="AAL55" s="8"/>
      <c r="AAM55" s="8"/>
      <c r="AAN55" s="8"/>
      <c r="AAO55" s="8"/>
      <c r="AAP55" s="8"/>
      <c r="AAQ55" s="8"/>
      <c r="AAR55" s="8"/>
      <c r="AAS55" s="8"/>
      <c r="AAT55" s="8"/>
      <c r="AAU55" s="8"/>
      <c r="AAV55" s="8"/>
      <c r="AAW55" s="8"/>
      <c r="AAX55" s="8"/>
      <c r="AAY55" s="8"/>
      <c r="AAZ55" s="8"/>
      <c r="ABA55" s="8"/>
      <c r="ABB55" s="8"/>
      <c r="ABC55" s="8"/>
      <c r="ABD55" s="8"/>
    </row>
    <row r="56" spans="1:732" s="26" customFormat="1"/>
    <row r="57" spans="1:732" s="26" customFormat="1"/>
    <row r="58" spans="1:732" s="26" customFormat="1"/>
    <row r="59" spans="1:732" s="26" customFormat="1"/>
    <row r="60" spans="1:732" s="26" customFormat="1"/>
    <row r="61" spans="1:732" s="26" customFormat="1"/>
    <row r="62" spans="1:732" s="26" customFormat="1"/>
    <row r="63" spans="1:732" s="26" customFormat="1"/>
    <row r="64" spans="1:732" s="26" customFormat="1"/>
    <row r="65" s="26" customFormat="1"/>
    <row r="66" s="26" customFormat="1"/>
    <row r="67" s="26" customFormat="1"/>
    <row r="68" s="26" customFormat="1"/>
    <row r="69" s="26" customFormat="1"/>
    <row r="70" s="26" customFormat="1"/>
    <row r="71" s="26" customFormat="1"/>
    <row r="72" s="26" customFormat="1"/>
    <row r="73" s="26" customFormat="1"/>
    <row r="74" s="26" customFormat="1"/>
    <row r="75" s="26" customFormat="1"/>
    <row r="76" s="26" customFormat="1"/>
    <row r="77" s="26" customFormat="1"/>
    <row r="78" s="26" customFormat="1"/>
    <row r="79" s="26" customFormat="1"/>
  </sheetData>
  <protectedRanges>
    <protectedRange password="CF7A" sqref="A2" name="Vung nhap" securityDescriptor="O:WDG:WDD:(A;;CC;;;WD)"/>
  </protectedRanges>
  <mergeCells count="88">
    <mergeCell ref="F42:G42"/>
    <mergeCell ref="B14:C14"/>
    <mergeCell ref="F14:G14"/>
    <mergeCell ref="B49:G49"/>
    <mergeCell ref="F33:G33"/>
    <mergeCell ref="F34:G34"/>
    <mergeCell ref="B43:D43"/>
    <mergeCell ref="F43:G43"/>
    <mergeCell ref="F35:G35"/>
    <mergeCell ref="F36:G36"/>
    <mergeCell ref="F37:G37"/>
    <mergeCell ref="F38:G38"/>
    <mergeCell ref="B37:C37"/>
    <mergeCell ref="B38:C38"/>
    <mergeCell ref="B35:C35"/>
    <mergeCell ref="B36:C36"/>
    <mergeCell ref="F39:G39"/>
    <mergeCell ref="F41:G41"/>
    <mergeCell ref="F40:G40"/>
    <mergeCell ref="B30:D30"/>
    <mergeCell ref="F30:G30"/>
    <mergeCell ref="F31:G31"/>
    <mergeCell ref="A2:G2"/>
    <mergeCell ref="A5:G5"/>
    <mergeCell ref="F18:G18"/>
    <mergeCell ref="B7:D7"/>
    <mergeCell ref="F7:G7"/>
    <mergeCell ref="F8:G8"/>
    <mergeCell ref="F9:G9"/>
    <mergeCell ref="F11:G11"/>
    <mergeCell ref="F13:G13"/>
    <mergeCell ref="F16:G16"/>
    <mergeCell ref="F17:G17"/>
    <mergeCell ref="F10:G10"/>
    <mergeCell ref="B8:C8"/>
    <mergeCell ref="B9:C9"/>
    <mergeCell ref="B10:C10"/>
    <mergeCell ref="C3:E3"/>
    <mergeCell ref="C4:D4"/>
    <mergeCell ref="E4:F4"/>
    <mergeCell ref="A51:E51"/>
    <mergeCell ref="A52:E52"/>
    <mergeCell ref="F51:G51"/>
    <mergeCell ref="F52:G52"/>
    <mergeCell ref="F50:G50"/>
    <mergeCell ref="A50:E50"/>
    <mergeCell ref="F6:G6"/>
    <mergeCell ref="F32:G32"/>
    <mergeCell ref="F19:G19"/>
    <mergeCell ref="F20:G20"/>
    <mergeCell ref="F21:G21"/>
    <mergeCell ref="F22:G22"/>
    <mergeCell ref="B11:C11"/>
    <mergeCell ref="B12:C12"/>
    <mergeCell ref="B13:C13"/>
    <mergeCell ref="B15:C15"/>
    <mergeCell ref="B16:C16"/>
    <mergeCell ref="F26:G26"/>
    <mergeCell ref="F28:G28"/>
    <mergeCell ref="F29:G29"/>
    <mergeCell ref="B6:C6"/>
    <mergeCell ref="B39:D39"/>
    <mergeCell ref="B40:D40"/>
    <mergeCell ref="B41:D41"/>
    <mergeCell ref="B42:D42"/>
    <mergeCell ref="B22:C22"/>
    <mergeCell ref="B23:C23"/>
    <mergeCell ref="B24:C24"/>
    <mergeCell ref="B25:C25"/>
    <mergeCell ref="B26:C26"/>
    <mergeCell ref="B27:C27"/>
    <mergeCell ref="B28:C28"/>
    <mergeCell ref="B29:C29"/>
    <mergeCell ref="B31:C31"/>
    <mergeCell ref="F12:G12"/>
    <mergeCell ref="F15:G15"/>
    <mergeCell ref="B32:C32"/>
    <mergeCell ref="B33:C33"/>
    <mergeCell ref="B34:C34"/>
    <mergeCell ref="B17:C17"/>
    <mergeCell ref="B18:C18"/>
    <mergeCell ref="B19:C19"/>
    <mergeCell ref="B20:C20"/>
    <mergeCell ref="B21:C21"/>
    <mergeCell ref="F23:G23"/>
    <mergeCell ref="F24:G24"/>
    <mergeCell ref="F25:G25"/>
    <mergeCell ref="F27:G27"/>
  </mergeCells>
  <conditionalFormatting sqref="G44:G48">
    <cfRule type="duplicateValues" dxfId="0" priority="1"/>
  </conditionalFormatting>
  <printOptions horizontalCentered="1"/>
  <pageMargins left="3.9370078740157501E-2" right="0" top="3.9370078740157501E-2" bottom="0" header="0.31496062992126" footer="0.15748031496063"/>
  <pageSetup paperSize="9" scale="8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900-000000000000}">
          <x14:formula1>
            <xm:f>'Danh muc'!$C$2:$C$106</xm:f>
          </x14:formula1>
          <xm:sqref>C3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:B47"/>
  <sheetViews>
    <sheetView topLeftCell="A15" workbookViewId="0">
      <selection activeCell="B36" sqref="B36"/>
    </sheetView>
  </sheetViews>
  <sheetFormatPr defaultRowHeight="18.75"/>
  <cols>
    <col min="1" max="1" width="7" style="289" customWidth="1"/>
    <col min="2" max="2" width="90" style="272" customWidth="1"/>
    <col min="3" max="3" width="24.85546875" style="272" customWidth="1"/>
    <col min="4" max="16384" width="9.140625" style="272"/>
  </cols>
  <sheetData>
    <row r="1" spans="1:2">
      <c r="A1" s="621" t="s">
        <v>6</v>
      </c>
      <c r="B1" s="621"/>
    </row>
    <row r="2" spans="1:2" ht="12.75" customHeight="1"/>
    <row r="3" spans="1:2" ht="22.5">
      <c r="A3" s="620" t="s">
        <v>269</v>
      </c>
      <c r="B3" s="620"/>
    </row>
    <row r="5" spans="1:2" s="348" customFormat="1" ht="28.5" customHeight="1">
      <c r="A5" s="347" t="s">
        <v>7</v>
      </c>
      <c r="B5" s="347" t="s">
        <v>27</v>
      </c>
    </row>
    <row r="6" spans="1:2" s="348" customFormat="1" ht="28.5" customHeight="1">
      <c r="A6" s="351">
        <v>1</v>
      </c>
      <c r="B6" s="352" t="s">
        <v>350</v>
      </c>
    </row>
    <row r="7" spans="1:2" s="348" customFormat="1" ht="28.5" customHeight="1">
      <c r="A7" s="351">
        <v>2</v>
      </c>
      <c r="B7" s="352" t="s">
        <v>349</v>
      </c>
    </row>
    <row r="8" spans="1:2" s="348" customFormat="1" ht="28.5" customHeight="1">
      <c r="A8" s="351">
        <v>3</v>
      </c>
      <c r="B8" s="346" t="s">
        <v>339</v>
      </c>
    </row>
    <row r="9" spans="1:2" s="348" customFormat="1" ht="28.5" customHeight="1">
      <c r="A9" s="351">
        <v>4</v>
      </c>
      <c r="B9" s="346" t="s">
        <v>340</v>
      </c>
    </row>
    <row r="10" spans="1:2" s="348" customFormat="1" ht="28.5" customHeight="1">
      <c r="A10" s="351">
        <v>5</v>
      </c>
      <c r="B10" s="346" t="s">
        <v>365</v>
      </c>
    </row>
    <row r="11" spans="1:2" s="348" customFormat="1" ht="28.5" customHeight="1">
      <c r="A11" s="351">
        <v>6</v>
      </c>
      <c r="B11" s="352" t="s">
        <v>366</v>
      </c>
    </row>
    <row r="12" spans="1:2" ht="24.75" customHeight="1">
      <c r="A12" s="351">
        <v>7</v>
      </c>
      <c r="B12" s="345" t="s">
        <v>351</v>
      </c>
    </row>
    <row r="13" spans="1:2" ht="24.75" customHeight="1">
      <c r="A13" s="351">
        <v>8</v>
      </c>
      <c r="B13" s="345" t="s">
        <v>352</v>
      </c>
    </row>
    <row r="14" spans="1:2" ht="38.25" customHeight="1">
      <c r="A14" s="351">
        <v>9</v>
      </c>
      <c r="B14" s="345" t="s">
        <v>353</v>
      </c>
    </row>
    <row r="15" spans="1:2" ht="24.75" customHeight="1">
      <c r="A15" s="351">
        <v>10</v>
      </c>
      <c r="B15" s="345" t="s">
        <v>354</v>
      </c>
    </row>
    <row r="16" spans="1:2" ht="37.5" customHeight="1">
      <c r="A16" s="351">
        <v>11</v>
      </c>
      <c r="B16" s="345" t="s">
        <v>355</v>
      </c>
    </row>
    <row r="17" spans="1:2" ht="24.75" customHeight="1">
      <c r="A17" s="351">
        <v>12</v>
      </c>
      <c r="B17" s="346" t="s">
        <v>337</v>
      </c>
    </row>
    <row r="18" spans="1:2" ht="24.75" customHeight="1">
      <c r="A18" s="351">
        <v>13</v>
      </c>
      <c r="B18" s="346" t="s">
        <v>334</v>
      </c>
    </row>
    <row r="19" spans="1:2" ht="24.75" customHeight="1">
      <c r="A19" s="351">
        <v>14</v>
      </c>
      <c r="B19" s="346" t="s">
        <v>335</v>
      </c>
    </row>
    <row r="20" spans="1:2" ht="24.75" customHeight="1">
      <c r="A20" s="351">
        <v>15</v>
      </c>
      <c r="B20" s="346" t="s">
        <v>336</v>
      </c>
    </row>
    <row r="21" spans="1:2" ht="24.75" customHeight="1">
      <c r="A21" s="351">
        <v>16</v>
      </c>
      <c r="B21" s="346" t="s">
        <v>332</v>
      </c>
    </row>
    <row r="22" spans="1:2" ht="24.75" customHeight="1">
      <c r="A22" s="351">
        <v>17</v>
      </c>
      <c r="B22" s="346" t="s">
        <v>333</v>
      </c>
    </row>
    <row r="23" spans="1:2" ht="41.25" customHeight="1">
      <c r="A23" s="351">
        <v>18</v>
      </c>
      <c r="B23" s="345" t="s">
        <v>341</v>
      </c>
    </row>
    <row r="24" spans="1:2" ht="40.5" customHeight="1">
      <c r="A24" s="351">
        <v>19</v>
      </c>
      <c r="B24" s="345" t="s">
        <v>338</v>
      </c>
    </row>
    <row r="25" spans="1:2" ht="24.75" customHeight="1">
      <c r="A25" s="351">
        <v>20</v>
      </c>
      <c r="B25" s="346" t="s">
        <v>356</v>
      </c>
    </row>
    <row r="26" spans="1:2" ht="38.25" customHeight="1">
      <c r="A26" s="351">
        <v>21</v>
      </c>
      <c r="B26" s="345" t="s">
        <v>357</v>
      </c>
    </row>
    <row r="27" spans="1:2" ht="40.5" customHeight="1">
      <c r="A27" s="351">
        <v>22</v>
      </c>
      <c r="B27" s="345" t="s">
        <v>363</v>
      </c>
    </row>
    <row r="28" spans="1:2" ht="39" customHeight="1">
      <c r="A28" s="351">
        <v>23</v>
      </c>
      <c r="B28" s="345" t="s">
        <v>362</v>
      </c>
    </row>
    <row r="29" spans="1:2" ht="37.5" customHeight="1">
      <c r="A29" s="351">
        <v>24</v>
      </c>
      <c r="B29" s="345" t="s">
        <v>361</v>
      </c>
    </row>
    <row r="30" spans="1:2" ht="42.75" customHeight="1">
      <c r="A30" s="351">
        <v>25</v>
      </c>
      <c r="B30" s="345" t="s">
        <v>360</v>
      </c>
    </row>
    <row r="31" spans="1:2" ht="38.25" customHeight="1">
      <c r="A31" s="351">
        <v>26</v>
      </c>
      <c r="B31" s="345" t="s">
        <v>359</v>
      </c>
    </row>
    <row r="32" spans="1:2" ht="37.5" customHeight="1">
      <c r="A32" s="351">
        <v>27</v>
      </c>
      <c r="B32" s="345" t="s">
        <v>358</v>
      </c>
    </row>
    <row r="33" spans="1:2" ht="24.75" customHeight="1">
      <c r="A33" s="351">
        <v>28</v>
      </c>
      <c r="B33" s="346" t="s">
        <v>342</v>
      </c>
    </row>
    <row r="34" spans="1:2" ht="24.75" customHeight="1">
      <c r="A34" s="351">
        <v>29</v>
      </c>
      <c r="B34" s="346" t="s">
        <v>343</v>
      </c>
    </row>
    <row r="35" spans="1:2" ht="24.75" customHeight="1">
      <c r="A35" s="351">
        <v>30</v>
      </c>
      <c r="B35" s="346" t="s">
        <v>344</v>
      </c>
    </row>
    <row r="36" spans="1:2" ht="42.75" customHeight="1">
      <c r="A36" s="351">
        <v>31</v>
      </c>
      <c r="B36" s="345" t="s">
        <v>364</v>
      </c>
    </row>
    <row r="37" spans="1:2" ht="24.75" customHeight="1">
      <c r="A37" s="351">
        <v>32</v>
      </c>
      <c r="B37" s="346" t="s">
        <v>345</v>
      </c>
    </row>
    <row r="38" spans="1:2" ht="24.75" customHeight="1">
      <c r="A38" s="290"/>
      <c r="B38" s="346"/>
    </row>
    <row r="39" spans="1:2" ht="24.75" customHeight="1">
      <c r="A39" s="290"/>
      <c r="B39" s="346"/>
    </row>
    <row r="40" spans="1:2" ht="24.75" customHeight="1">
      <c r="A40" s="290"/>
      <c r="B40" s="346"/>
    </row>
    <row r="41" spans="1:2" ht="24.75" customHeight="1">
      <c r="A41" s="290"/>
      <c r="B41" s="346"/>
    </row>
    <row r="42" spans="1:2" ht="24.75" customHeight="1">
      <c r="A42" s="290"/>
      <c r="B42" s="346"/>
    </row>
    <row r="43" spans="1:2">
      <c r="A43" s="290"/>
      <c r="B43" s="346"/>
    </row>
    <row r="45" spans="1:2">
      <c r="B45" s="349" t="s">
        <v>346</v>
      </c>
    </row>
    <row r="46" spans="1:2">
      <c r="B46" s="350" t="s">
        <v>347</v>
      </c>
    </row>
    <row r="47" spans="1:2">
      <c r="B47" s="184" t="s">
        <v>348</v>
      </c>
    </row>
  </sheetData>
  <mergeCells count="2">
    <mergeCell ref="A3:B3"/>
    <mergeCell ref="A1:B1"/>
  </mergeCells>
  <printOptions horizontalCentered="1"/>
  <pageMargins left="0.2" right="0.25" top="0.2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A1:D25"/>
  <sheetViews>
    <sheetView workbookViewId="0">
      <selection sqref="A1:D1"/>
    </sheetView>
  </sheetViews>
  <sheetFormatPr defaultRowHeight="16.5"/>
  <cols>
    <col min="1" max="1" width="5.5703125" style="266" customWidth="1"/>
    <col min="2" max="2" width="29.7109375" style="263" customWidth="1"/>
    <col min="3" max="3" width="15.7109375" style="266" customWidth="1"/>
    <col min="4" max="4" width="35" style="266" customWidth="1"/>
    <col min="5" max="16384" width="9.140625" style="263"/>
  </cols>
  <sheetData>
    <row r="1" spans="1:4" ht="35.25" customHeight="1">
      <c r="A1" s="622" t="s">
        <v>233</v>
      </c>
      <c r="B1" s="623"/>
      <c r="C1" s="623"/>
      <c r="D1" s="623"/>
    </row>
    <row r="2" spans="1:4" ht="12.75" customHeight="1">
      <c r="A2" s="269"/>
      <c r="B2" s="270"/>
      <c r="C2" s="270"/>
      <c r="D2" s="270"/>
    </row>
    <row r="3" spans="1:4" ht="27.75" customHeight="1">
      <c r="A3" s="620" t="s">
        <v>234</v>
      </c>
      <c r="B3" s="620"/>
      <c r="C3" s="620"/>
      <c r="D3" s="620"/>
    </row>
    <row r="4" spans="1:4" ht="14.25" customHeight="1">
      <c r="A4" s="262"/>
      <c r="B4" s="262"/>
      <c r="C4" s="262"/>
      <c r="D4" s="262"/>
    </row>
    <row r="5" spans="1:4" s="266" customFormat="1" ht="27.75" customHeight="1">
      <c r="A5" s="264" t="s">
        <v>7</v>
      </c>
      <c r="B5" s="265" t="s">
        <v>84</v>
      </c>
      <c r="C5" s="265" t="s">
        <v>11</v>
      </c>
      <c r="D5" s="265" t="s">
        <v>235</v>
      </c>
    </row>
    <row r="6" spans="1:4" ht="30.75" customHeight="1">
      <c r="A6" s="267">
        <v>1</v>
      </c>
      <c r="B6" s="268" t="s">
        <v>53</v>
      </c>
      <c r="C6" s="267" t="s">
        <v>21</v>
      </c>
      <c r="D6" s="271" t="s">
        <v>236</v>
      </c>
    </row>
    <row r="7" spans="1:4" ht="30.75" customHeight="1">
      <c r="A7" s="267">
        <v>2</v>
      </c>
      <c r="B7" s="268" t="s">
        <v>59</v>
      </c>
      <c r="C7" s="267" t="s">
        <v>42</v>
      </c>
      <c r="D7" s="271" t="s">
        <v>237</v>
      </c>
    </row>
    <row r="8" spans="1:4" ht="30.75" customHeight="1">
      <c r="A8" s="267">
        <v>3</v>
      </c>
      <c r="B8" s="268" t="s">
        <v>67</v>
      </c>
      <c r="C8" s="267" t="s">
        <v>42</v>
      </c>
      <c r="D8" s="271" t="s">
        <v>238</v>
      </c>
    </row>
    <row r="9" spans="1:4" ht="30.75" customHeight="1">
      <c r="A9" s="267">
        <v>4</v>
      </c>
      <c r="B9" s="268" t="s">
        <v>188</v>
      </c>
      <c r="C9" s="267" t="s">
        <v>13</v>
      </c>
      <c r="D9" s="271" t="s">
        <v>239</v>
      </c>
    </row>
    <row r="10" spans="1:4" ht="30.75" customHeight="1">
      <c r="A10" s="267">
        <v>5</v>
      </c>
      <c r="B10" s="268" t="s">
        <v>78</v>
      </c>
      <c r="C10" s="267" t="s">
        <v>77</v>
      </c>
      <c r="D10" s="271" t="s">
        <v>240</v>
      </c>
    </row>
    <row r="11" spans="1:4" ht="30.75" customHeight="1">
      <c r="A11" s="267">
        <v>6</v>
      </c>
      <c r="B11" s="268" t="s">
        <v>81</v>
      </c>
      <c r="C11" s="267" t="s">
        <v>14</v>
      </c>
      <c r="D11" s="271" t="s">
        <v>241</v>
      </c>
    </row>
    <row r="12" spans="1:4" ht="30.75" customHeight="1">
      <c r="A12" s="267">
        <v>7</v>
      </c>
      <c r="B12" s="268" t="s">
        <v>82</v>
      </c>
      <c r="C12" s="267" t="s">
        <v>21</v>
      </c>
      <c r="D12" s="271" t="s">
        <v>242</v>
      </c>
    </row>
    <row r="13" spans="1:4" ht="30.75" customHeight="1">
      <c r="A13" s="267">
        <v>8</v>
      </c>
      <c r="B13" s="268" t="s">
        <v>220</v>
      </c>
      <c r="C13" s="267" t="s">
        <v>21</v>
      </c>
      <c r="D13" s="271" t="s">
        <v>243</v>
      </c>
    </row>
    <row r="14" spans="1:4" ht="30.75" customHeight="1">
      <c r="A14" s="267">
        <v>9</v>
      </c>
      <c r="B14" s="268" t="s">
        <v>225</v>
      </c>
      <c r="C14" s="267" t="s">
        <v>42</v>
      </c>
      <c r="D14" s="271" t="s">
        <v>244</v>
      </c>
    </row>
    <row r="15" spans="1:4" ht="30.75" customHeight="1">
      <c r="A15" s="267">
        <v>10</v>
      </c>
      <c r="B15" s="268" t="s">
        <v>226</v>
      </c>
      <c r="C15" s="267" t="s">
        <v>74</v>
      </c>
      <c r="D15" s="271" t="s">
        <v>245</v>
      </c>
    </row>
    <row r="16" spans="1:4" ht="30.75" customHeight="1">
      <c r="A16" s="267">
        <v>11</v>
      </c>
      <c r="B16" s="268" t="s">
        <v>229</v>
      </c>
      <c r="C16" s="267" t="s">
        <v>231</v>
      </c>
      <c r="D16" s="271" t="s">
        <v>246</v>
      </c>
    </row>
    <row r="17" spans="1:4" ht="30.75" customHeight="1">
      <c r="A17" s="267">
        <v>12</v>
      </c>
      <c r="B17" s="268" t="s">
        <v>230</v>
      </c>
      <c r="C17" s="267" t="s">
        <v>231</v>
      </c>
      <c r="D17" s="271" t="s">
        <v>247</v>
      </c>
    </row>
    <row r="18" spans="1:4" ht="30.75" customHeight="1">
      <c r="A18" s="267">
        <v>13</v>
      </c>
      <c r="B18" s="268" t="s">
        <v>232</v>
      </c>
      <c r="C18" s="267" t="s">
        <v>42</v>
      </c>
      <c r="D18" s="271" t="s">
        <v>248</v>
      </c>
    </row>
    <row r="19" spans="1:4" ht="30.75" customHeight="1">
      <c r="A19" s="267">
        <v>14</v>
      </c>
      <c r="B19" s="268" t="s">
        <v>80</v>
      </c>
      <c r="C19" s="267" t="s">
        <v>12</v>
      </c>
      <c r="D19" s="271" t="s">
        <v>249</v>
      </c>
    </row>
    <row r="20" spans="1:4" ht="30.75" customHeight="1">
      <c r="A20" s="267"/>
      <c r="B20" s="268"/>
      <c r="C20" s="267"/>
      <c r="D20" s="271"/>
    </row>
    <row r="21" spans="1:4" ht="30.75" customHeight="1">
      <c r="A21" s="267"/>
      <c r="B21" s="268"/>
      <c r="C21" s="267"/>
      <c r="D21" s="271"/>
    </row>
    <row r="22" spans="1:4" ht="30.75" customHeight="1">
      <c r="A22" s="267"/>
      <c r="B22" s="268"/>
      <c r="C22" s="267"/>
      <c r="D22" s="267"/>
    </row>
    <row r="23" spans="1:4" ht="30.75" customHeight="1">
      <c r="A23" s="267"/>
      <c r="B23" s="268"/>
      <c r="C23" s="267"/>
      <c r="D23" s="267"/>
    </row>
    <row r="24" spans="1:4" ht="30.75" customHeight="1">
      <c r="A24" s="267"/>
      <c r="B24" s="268"/>
      <c r="C24" s="267"/>
      <c r="D24" s="267"/>
    </row>
    <row r="25" spans="1:4" ht="30.75" customHeight="1">
      <c r="A25" s="267"/>
      <c r="B25" s="268"/>
      <c r="C25" s="267"/>
      <c r="D25" s="267"/>
    </row>
  </sheetData>
  <mergeCells count="2">
    <mergeCell ref="A3:D3"/>
    <mergeCell ref="A1:D1"/>
  </mergeCells>
  <pageMargins left="0.7" right="0.45" top="0.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13</vt:i4>
      </vt:variant>
    </vt:vector>
  </HeadingPairs>
  <TitlesOfParts>
    <vt:vector size="24" baseType="lpstr">
      <vt:lpstr>Menu</vt:lpstr>
      <vt:lpstr>Danh muc</vt:lpstr>
      <vt:lpstr> Bảng nhập công</vt:lpstr>
      <vt:lpstr>Bảng tính toán</vt:lpstr>
      <vt:lpstr>CHUYỂN KHOẢN</vt:lpstr>
      <vt:lpstr>TIỀN MẶT</vt:lpstr>
      <vt:lpstr>Data chấm công</vt:lpstr>
      <vt:lpstr>Bang Thanh Toan Luong</vt:lpstr>
      <vt:lpstr>In phiếu lương</vt:lpstr>
      <vt:lpstr>Phụ lục tính lương</vt:lpstr>
      <vt:lpstr>Sheet1</vt:lpstr>
      <vt:lpstr>Huỳnh_Thị_Huỳnh_Nga</vt:lpstr>
      <vt:lpstr>lien</vt:lpstr>
      <vt:lpstr>' Bảng nhập công'!Print_Area</vt:lpstr>
      <vt:lpstr>'Bang Thanh Toan Luong'!Print_Area</vt:lpstr>
      <vt:lpstr>'Bảng tính toán'!Print_Area</vt:lpstr>
      <vt:lpstr>'Danh muc'!Print_Area</vt:lpstr>
      <vt:lpstr>'In phiếu lương'!Print_Area</vt:lpstr>
      <vt:lpstr>'Bang Thanh Toan Luong'!Print_Titles</vt:lpstr>
      <vt:lpstr>'CHUYỂN KHOẢN'!Print_Titles</vt:lpstr>
      <vt:lpstr>'Danh muc'!Print_Titles</vt:lpstr>
      <vt:lpstr>'Phụ lục tính lương'!Print_Titles</vt:lpstr>
      <vt:lpstr>tên</vt:lpstr>
      <vt:lpstr>tên_nhân_viên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</dc:creator>
  <cp:lastModifiedBy>PT COMPUTER</cp:lastModifiedBy>
  <cp:lastPrinted>2026-04-12T04:04:10Z</cp:lastPrinted>
  <dcterms:created xsi:type="dcterms:W3CDTF">2018-08-10T09:21:33Z</dcterms:created>
  <dcterms:modified xsi:type="dcterms:W3CDTF">2026-04-12T04:04:24Z</dcterms:modified>
</cp:coreProperties>
</file>